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win10\OneDrive\Desktop\"/>
    </mc:Choice>
  </mc:AlternateContent>
  <xr:revisionPtr revIDLastSave="0" documentId="13_ncr:1_{840AD212-140F-4708-B63D-8A33BD79D168}" xr6:coauthVersionLast="47" xr6:coauthVersionMax="47" xr10:uidLastSave="{00000000-0000-0000-0000-000000000000}"/>
  <bookViews>
    <workbookView xWindow="-108" yWindow="-108" windowWidth="23256" windowHeight="12456" firstSheet="1" activeTab="1" xr2:uid="{7814A46F-53F6-4CC3-A218-8BDE44D967AD}"/>
  </bookViews>
  <sheets>
    <sheet name="Dashboard" sheetId="12" r:id="rId1"/>
    <sheet name="Valuation-FCFF" sheetId="8" r:id="rId2"/>
    <sheet name="Sensitivity Analysis" sheetId="11" r:id="rId3"/>
    <sheet name="SOFP " sheetId="3" r:id="rId4"/>
    <sheet name="SOPL" sheetId="2" r:id="rId5"/>
    <sheet name="SOCF" sheetId="7" r:id="rId6"/>
    <sheet name="Schedule" sheetId="5" r:id="rId7"/>
    <sheet name="Ratio Analysis" sheetId="4" r:id="rId8"/>
    <sheet name="Common-Size Analysis" sheetId="9" r:id="rId9"/>
    <sheet name="Comparative Analysis" sheetId="10" r:id="rId10"/>
    <sheet name="DashboardData" sheetId="13" state="veryHidden" r:id="rId11"/>
  </sheets>
  <definedNames>
    <definedName name="Slicer_Year">#N/A</definedName>
  </definedNames>
  <calcPr calcId="191029"/>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14" i="4" l="1"/>
  <c r="T14" i="4"/>
  <c r="U14" i="4"/>
  <c r="V14" i="4"/>
  <c r="J15" i="4"/>
  <c r="J14" i="4"/>
  <c r="K14" i="4"/>
  <c r="L14" i="4"/>
  <c r="M14" i="4"/>
  <c r="N14" i="4"/>
  <c r="O14" i="4"/>
  <c r="N16" i="8"/>
  <c r="O14" i="8"/>
  <c r="I60" i="4"/>
  <c r="J60" i="4"/>
  <c r="K60" i="4"/>
  <c r="L60" i="4"/>
  <c r="M60" i="4"/>
  <c r="N60" i="4"/>
  <c r="O60" i="4"/>
  <c r="I61" i="4"/>
  <c r="J61" i="4"/>
  <c r="K61" i="4"/>
  <c r="L61" i="4"/>
  <c r="M61" i="4"/>
  <c r="N61" i="4"/>
  <c r="O61" i="4"/>
  <c r="J38" i="4"/>
  <c r="K38" i="4"/>
  <c r="G4" i="13" s="1"/>
  <c r="L38" i="4"/>
  <c r="M38" i="4"/>
  <c r="G6" i="13" s="1"/>
  <c r="N38" i="4"/>
  <c r="O38" i="4"/>
  <c r="A3" i="13"/>
  <c r="A4" i="13" s="1"/>
  <c r="A5" i="13" s="1"/>
  <c r="A6" i="13" s="1"/>
  <c r="A7" i="13" s="1"/>
  <c r="A8" i="13" s="1"/>
  <c r="A9" i="13" s="1"/>
  <c r="A10" i="13" s="1"/>
  <c r="A11" i="13" s="1"/>
  <c r="A12" i="13" s="1"/>
  <c r="C2" i="13"/>
  <c r="B20" i="13"/>
  <c r="I12" i="13"/>
  <c r="D2" i="13"/>
  <c r="D3" i="13"/>
  <c r="D4" i="13"/>
  <c r="D5" i="13"/>
  <c r="D6" i="13"/>
  <c r="D7" i="13"/>
  <c r="D8" i="13"/>
  <c r="D9" i="13"/>
  <c r="D10" i="13"/>
  <c r="D11" i="13"/>
  <c r="D12" i="13"/>
  <c r="E2" i="13"/>
  <c r="E3" i="13"/>
  <c r="E4" i="13"/>
  <c r="E5" i="13"/>
  <c r="E6" i="13"/>
  <c r="E7" i="13"/>
  <c r="E8" i="13"/>
  <c r="C3" i="13"/>
  <c r="C4" i="13"/>
  <c r="C5" i="13"/>
  <c r="C6" i="13"/>
  <c r="C7" i="13"/>
  <c r="C8" i="13"/>
  <c r="C9" i="13"/>
  <c r="C10" i="13"/>
  <c r="C11" i="13"/>
  <c r="C12" i="13"/>
  <c r="B2" i="13"/>
  <c r="B3" i="13"/>
  <c r="B4" i="13"/>
  <c r="B5" i="13"/>
  <c r="B6" i="13"/>
  <c r="B7" i="13"/>
  <c r="B8" i="13"/>
  <c r="B9" i="13"/>
  <c r="B10" i="13"/>
  <c r="B11" i="13"/>
  <c r="B12" i="13"/>
  <c r="S15" i="4"/>
  <c r="T15" i="4"/>
  <c r="U15" i="4"/>
  <c r="V15" i="4"/>
  <c r="S16" i="4"/>
  <c r="T16" i="4"/>
  <c r="U16" i="4"/>
  <c r="V16" i="4"/>
  <c r="S32" i="4"/>
  <c r="I9" i="13" s="1"/>
  <c r="T32" i="4"/>
  <c r="I10" i="13" s="1"/>
  <c r="U32" i="4"/>
  <c r="I11" i="13" s="1"/>
  <c r="V32" i="4"/>
  <c r="S33" i="4"/>
  <c r="J9" i="13" s="1"/>
  <c r="T33" i="4"/>
  <c r="J10" i="13" s="1"/>
  <c r="U33" i="4"/>
  <c r="J11" i="13" s="1"/>
  <c r="V33" i="4"/>
  <c r="J12" i="13" s="1"/>
  <c r="S57" i="4"/>
  <c r="T57" i="4"/>
  <c r="T58" i="4" s="1"/>
  <c r="U57" i="4"/>
  <c r="U58" i="4" s="1"/>
  <c r="V57" i="4"/>
  <c r="V58" i="4" s="1"/>
  <c r="S58" i="4"/>
  <c r="I43" i="4"/>
  <c r="M15" i="8"/>
  <c r="J29" i="8"/>
  <c r="J19" i="10"/>
  <c r="Q54" i="7"/>
  <c r="I37" i="4"/>
  <c r="F2" i="13" s="1"/>
  <c r="J37" i="4"/>
  <c r="F3" i="13" s="1"/>
  <c r="K37" i="4"/>
  <c r="F4" i="13" s="1"/>
  <c r="L37" i="4"/>
  <c r="F5" i="13" s="1"/>
  <c r="M37" i="4"/>
  <c r="F6" i="13" s="1"/>
  <c r="N37" i="4"/>
  <c r="F7" i="13" s="1"/>
  <c r="O37" i="4"/>
  <c r="F8" i="13" s="1"/>
  <c r="I42" i="4"/>
  <c r="J42" i="4"/>
  <c r="K42" i="4"/>
  <c r="L42" i="4"/>
  <c r="M42" i="4"/>
  <c r="N42" i="4"/>
  <c r="O42" i="4"/>
  <c r="J43" i="4"/>
  <c r="K43" i="4"/>
  <c r="L43" i="4"/>
  <c r="M43" i="4"/>
  <c r="N43" i="4"/>
  <c r="O43" i="4"/>
  <c r="I39" i="4"/>
  <c r="H2" i="13" s="1"/>
  <c r="J39" i="4"/>
  <c r="H3" i="13" s="1"/>
  <c r="K39" i="4"/>
  <c r="H4" i="13" s="1"/>
  <c r="L39" i="4"/>
  <c r="H5" i="13" s="1"/>
  <c r="M39" i="4"/>
  <c r="H6" i="13" s="1"/>
  <c r="N39" i="4"/>
  <c r="H7" i="13" s="1"/>
  <c r="O39" i="4"/>
  <c r="H8" i="13" s="1"/>
  <c r="I38" i="4"/>
  <c r="G2" i="13" s="1"/>
  <c r="G3" i="13"/>
  <c r="G5" i="13"/>
  <c r="G7" i="13"/>
  <c r="G8" i="13"/>
  <c r="P46" i="3"/>
  <c r="AC17" i="5"/>
  <c r="AF17" i="5" s="1"/>
  <c r="AI17" i="5" s="1"/>
  <c r="P76" i="3"/>
  <c r="Q76" i="3" s="1"/>
  <c r="R76" i="3" s="1"/>
  <c r="S76" i="3" s="1"/>
  <c r="T76" i="3" s="1"/>
  <c r="I76" i="3"/>
  <c r="J76" i="3"/>
  <c r="K76" i="3"/>
  <c r="L76" i="3"/>
  <c r="M76" i="3"/>
  <c r="N76" i="3"/>
  <c r="O76" i="3"/>
  <c r="P53" i="2"/>
  <c r="P42" i="2"/>
  <c r="P50" i="2"/>
  <c r="P47" i="2"/>
  <c r="P46" i="2"/>
  <c r="P45" i="2"/>
  <c r="P44" i="2"/>
  <c r="P19" i="2"/>
  <c r="G10" i="11"/>
  <c r="H10" i="11" s="1"/>
  <c r="I10" i="11" s="1"/>
  <c r="J10" i="11" s="1"/>
  <c r="B27" i="11"/>
  <c r="G24" i="11"/>
  <c r="G25" i="11"/>
  <c r="G26" i="11"/>
  <c r="G27" i="11"/>
  <c r="G28" i="11"/>
  <c r="G15" i="11"/>
  <c r="H15" i="11"/>
  <c r="I15" i="11"/>
  <c r="J15" i="11"/>
  <c r="H9" i="11"/>
  <c r="I9" i="11" s="1"/>
  <c r="J9" i="11" s="1"/>
  <c r="J40" i="10"/>
  <c r="K40" i="10"/>
  <c r="L40" i="10"/>
  <c r="M40" i="10"/>
  <c r="N40" i="10"/>
  <c r="O40" i="10"/>
  <c r="J41" i="10"/>
  <c r="K41" i="10"/>
  <c r="L41" i="10"/>
  <c r="M41" i="10"/>
  <c r="N41" i="10"/>
  <c r="O41" i="10"/>
  <c r="J42" i="10"/>
  <c r="K42" i="10"/>
  <c r="L42" i="10"/>
  <c r="M42" i="10"/>
  <c r="N42" i="10"/>
  <c r="O42" i="10"/>
  <c r="J44" i="10"/>
  <c r="K44" i="10"/>
  <c r="L44" i="10"/>
  <c r="M44" i="10"/>
  <c r="N44" i="10"/>
  <c r="O44" i="10"/>
  <c r="J46" i="10"/>
  <c r="K46" i="10"/>
  <c r="L46" i="10"/>
  <c r="M46" i="10"/>
  <c r="N46" i="10"/>
  <c r="O46" i="10"/>
  <c r="J47" i="10"/>
  <c r="K47" i="10"/>
  <c r="L47" i="10"/>
  <c r="M47" i="10"/>
  <c r="N47" i="10"/>
  <c r="O47" i="10"/>
  <c r="J48" i="10"/>
  <c r="K48" i="10"/>
  <c r="L48" i="10"/>
  <c r="M48" i="10"/>
  <c r="N48" i="10"/>
  <c r="O48" i="10"/>
  <c r="J52" i="10"/>
  <c r="K52" i="10"/>
  <c r="L52" i="10"/>
  <c r="M52" i="10"/>
  <c r="N52" i="10"/>
  <c r="O52" i="10"/>
  <c r="J54" i="10"/>
  <c r="K54" i="10"/>
  <c r="L54" i="10"/>
  <c r="M54" i="10"/>
  <c r="N54" i="10"/>
  <c r="O54" i="10"/>
  <c r="J55" i="10"/>
  <c r="K55" i="10"/>
  <c r="L55" i="10"/>
  <c r="M55" i="10"/>
  <c r="N55" i="10"/>
  <c r="O55" i="10"/>
  <c r="J56" i="10"/>
  <c r="K56" i="10"/>
  <c r="L56" i="10"/>
  <c r="M56" i="10"/>
  <c r="N56" i="10"/>
  <c r="O56" i="10"/>
  <c r="J58" i="10"/>
  <c r="K58" i="10"/>
  <c r="L58" i="10"/>
  <c r="M58" i="10"/>
  <c r="N58" i="10"/>
  <c r="O58" i="10"/>
  <c r="J59" i="10"/>
  <c r="K59" i="10"/>
  <c r="L59" i="10"/>
  <c r="J65" i="10"/>
  <c r="K65" i="10"/>
  <c r="L65" i="10"/>
  <c r="M65" i="10"/>
  <c r="N65" i="10"/>
  <c r="O65" i="10"/>
  <c r="P65" i="10"/>
  <c r="Q65" i="10"/>
  <c r="R65" i="10"/>
  <c r="S65" i="10"/>
  <c r="J67" i="10"/>
  <c r="K67" i="10"/>
  <c r="L67" i="10"/>
  <c r="M67" i="10"/>
  <c r="N67" i="10"/>
  <c r="O67" i="10"/>
  <c r="J74" i="10"/>
  <c r="K74" i="10"/>
  <c r="L74" i="10"/>
  <c r="M74" i="10"/>
  <c r="N74" i="10"/>
  <c r="O74" i="10"/>
  <c r="L75" i="10"/>
  <c r="M75" i="10"/>
  <c r="N75" i="10"/>
  <c r="O75" i="10"/>
  <c r="J76" i="10"/>
  <c r="K76" i="10"/>
  <c r="L76" i="10"/>
  <c r="M76" i="10"/>
  <c r="N76" i="10"/>
  <c r="O76" i="10"/>
  <c r="J83" i="10"/>
  <c r="K83" i="10"/>
  <c r="N83" i="10"/>
  <c r="O83" i="10"/>
  <c r="J84" i="10"/>
  <c r="M84" i="10"/>
  <c r="N84" i="10"/>
  <c r="O84" i="10"/>
  <c r="M85" i="10"/>
  <c r="N85" i="10"/>
  <c r="O85" i="10"/>
  <c r="J87" i="10"/>
  <c r="K87" i="10"/>
  <c r="L87" i="10"/>
  <c r="M87" i="10"/>
  <c r="N87" i="10"/>
  <c r="O87" i="10"/>
  <c r="J11" i="10"/>
  <c r="K11" i="10"/>
  <c r="L11" i="10"/>
  <c r="M11" i="10"/>
  <c r="N11" i="10"/>
  <c r="O11" i="10"/>
  <c r="J12" i="10"/>
  <c r="K12" i="10"/>
  <c r="L12" i="10"/>
  <c r="M12" i="10"/>
  <c r="N12" i="10"/>
  <c r="O12" i="10"/>
  <c r="P12" i="10"/>
  <c r="Q12" i="10"/>
  <c r="R12" i="10"/>
  <c r="S12" i="10"/>
  <c r="J13" i="10"/>
  <c r="K13" i="10"/>
  <c r="L13" i="10"/>
  <c r="M13" i="10"/>
  <c r="N13" i="10"/>
  <c r="O13" i="10"/>
  <c r="J14" i="10"/>
  <c r="K14" i="10"/>
  <c r="L14" i="10"/>
  <c r="M14" i="10"/>
  <c r="N14" i="10"/>
  <c r="O14" i="10"/>
  <c r="J15" i="10"/>
  <c r="K15" i="10"/>
  <c r="L15" i="10"/>
  <c r="M15" i="10"/>
  <c r="N15" i="10"/>
  <c r="O15" i="10"/>
  <c r="J16" i="10"/>
  <c r="K16" i="10"/>
  <c r="L16" i="10"/>
  <c r="M16" i="10"/>
  <c r="N16" i="10"/>
  <c r="O16" i="10"/>
  <c r="J17" i="10"/>
  <c r="K17" i="10"/>
  <c r="L17" i="10"/>
  <c r="M17" i="10"/>
  <c r="N17" i="10"/>
  <c r="O17" i="10"/>
  <c r="J18" i="10"/>
  <c r="K18" i="10"/>
  <c r="L18" i="10"/>
  <c r="M18" i="10"/>
  <c r="N18" i="10"/>
  <c r="O18" i="10"/>
  <c r="K19" i="10"/>
  <c r="L19" i="10"/>
  <c r="M19" i="10"/>
  <c r="N19" i="10"/>
  <c r="O19" i="10"/>
  <c r="P19" i="10"/>
  <c r="Q19" i="10"/>
  <c r="R19" i="10"/>
  <c r="S19" i="10"/>
  <c r="J20" i="10"/>
  <c r="K20" i="10"/>
  <c r="L20" i="10"/>
  <c r="M20" i="10"/>
  <c r="N20" i="10"/>
  <c r="O20" i="10"/>
  <c r="J21" i="10"/>
  <c r="K21" i="10"/>
  <c r="L21" i="10"/>
  <c r="M21" i="10"/>
  <c r="N21" i="10"/>
  <c r="O21" i="10"/>
  <c r="J22" i="10"/>
  <c r="K22" i="10"/>
  <c r="L22" i="10"/>
  <c r="M22" i="10"/>
  <c r="N22" i="10"/>
  <c r="O22" i="10"/>
  <c r="J23" i="10"/>
  <c r="K23" i="10"/>
  <c r="L23" i="10"/>
  <c r="M23" i="10"/>
  <c r="N23" i="10"/>
  <c r="O23" i="10"/>
  <c r="J24" i="10"/>
  <c r="K24" i="10"/>
  <c r="L24" i="10"/>
  <c r="M24" i="10"/>
  <c r="N24" i="10"/>
  <c r="O24" i="10"/>
  <c r="J25" i="10"/>
  <c r="K25" i="10"/>
  <c r="L25" i="10"/>
  <c r="M25" i="10"/>
  <c r="N25" i="10"/>
  <c r="O25" i="10"/>
  <c r="L26" i="10"/>
  <c r="M26" i="10"/>
  <c r="O26" i="10"/>
  <c r="P26" i="10"/>
  <c r="J27" i="10"/>
  <c r="K27" i="10"/>
  <c r="L27" i="10"/>
  <c r="M27" i="10"/>
  <c r="N27" i="10"/>
  <c r="O27" i="10"/>
  <c r="J28" i="10"/>
  <c r="K28" i="10"/>
  <c r="L28" i="10"/>
  <c r="M28" i="10"/>
  <c r="N28" i="10"/>
  <c r="O28" i="10"/>
  <c r="J29" i="10"/>
  <c r="K29" i="10"/>
  <c r="L29" i="10"/>
  <c r="M29" i="10"/>
  <c r="N29" i="10"/>
  <c r="O29" i="10"/>
  <c r="J30" i="10"/>
  <c r="J31" i="10"/>
  <c r="K31" i="10"/>
  <c r="L31" i="10"/>
  <c r="M31" i="10"/>
  <c r="N31" i="10"/>
  <c r="O31" i="10"/>
  <c r="M36" i="10"/>
  <c r="N36" i="10" s="1"/>
  <c r="O36" i="10" s="1"/>
  <c r="P36" i="10" s="1"/>
  <c r="Q36" i="10" s="1"/>
  <c r="R36" i="10" s="1"/>
  <c r="S36" i="10" s="1"/>
  <c r="L36" i="10"/>
  <c r="K36" i="10"/>
  <c r="I36" i="10"/>
  <c r="N9" i="10"/>
  <c r="O9" i="10" s="1"/>
  <c r="P9" i="10" s="1"/>
  <c r="Q9" i="10" s="1"/>
  <c r="R9" i="10" s="1"/>
  <c r="S9" i="10" s="1"/>
  <c r="M9" i="10"/>
  <c r="L9" i="10"/>
  <c r="K9" i="10"/>
  <c r="I9" i="10"/>
  <c r="K36" i="9"/>
  <c r="L36" i="9" s="1"/>
  <c r="M36" i="9" s="1"/>
  <c r="N36" i="9" s="1"/>
  <c r="O36" i="9" s="1"/>
  <c r="P36" i="9" s="1"/>
  <c r="Q36" i="9" s="1"/>
  <c r="R36" i="9" s="1"/>
  <c r="S36" i="9" s="1"/>
  <c r="I36" i="9"/>
  <c r="I11" i="9"/>
  <c r="J11" i="9"/>
  <c r="K11" i="9"/>
  <c r="L11" i="9"/>
  <c r="M11" i="9"/>
  <c r="N11" i="9"/>
  <c r="O11" i="9"/>
  <c r="I12" i="9"/>
  <c r="J12" i="9"/>
  <c r="K12" i="9"/>
  <c r="L12" i="9"/>
  <c r="M12" i="9"/>
  <c r="N12" i="9"/>
  <c r="O12" i="9"/>
  <c r="I13" i="9"/>
  <c r="J13" i="9"/>
  <c r="K13" i="9"/>
  <c r="L13" i="9"/>
  <c r="M13" i="9"/>
  <c r="N13" i="9"/>
  <c r="O13" i="9"/>
  <c r="I14" i="9"/>
  <c r="J14" i="9"/>
  <c r="K14" i="9"/>
  <c r="L14" i="9"/>
  <c r="M14" i="9"/>
  <c r="N14" i="9"/>
  <c r="O14" i="9"/>
  <c r="I15" i="9"/>
  <c r="J15" i="9"/>
  <c r="K15" i="9"/>
  <c r="L15" i="9"/>
  <c r="M15" i="9"/>
  <c r="N15" i="9"/>
  <c r="O15" i="9"/>
  <c r="I16" i="9"/>
  <c r="J16" i="9"/>
  <c r="K16" i="9"/>
  <c r="L16" i="9"/>
  <c r="M16" i="9"/>
  <c r="N16" i="9"/>
  <c r="O16" i="9"/>
  <c r="I17" i="9"/>
  <c r="J17" i="9"/>
  <c r="K17" i="9"/>
  <c r="L17" i="9"/>
  <c r="M17" i="9"/>
  <c r="N17" i="9"/>
  <c r="O17" i="9"/>
  <c r="I18" i="9"/>
  <c r="J18" i="9"/>
  <c r="K18" i="9"/>
  <c r="L18" i="9"/>
  <c r="M18" i="9"/>
  <c r="N18" i="9"/>
  <c r="O18" i="9"/>
  <c r="I19" i="9"/>
  <c r="J19" i="9"/>
  <c r="K19" i="9"/>
  <c r="L19" i="9"/>
  <c r="M19" i="9"/>
  <c r="N19" i="9"/>
  <c r="O19" i="9"/>
  <c r="I20" i="9"/>
  <c r="J20" i="9"/>
  <c r="K20" i="9"/>
  <c r="L20" i="9"/>
  <c r="M20" i="9"/>
  <c r="N20" i="9"/>
  <c r="O20" i="9"/>
  <c r="I21" i="9"/>
  <c r="J21" i="9"/>
  <c r="K21" i="9"/>
  <c r="L21" i="9"/>
  <c r="M21" i="9"/>
  <c r="N21" i="9"/>
  <c r="O21" i="9"/>
  <c r="I22" i="9"/>
  <c r="J22" i="9"/>
  <c r="K22" i="9"/>
  <c r="L22" i="9"/>
  <c r="M22" i="9"/>
  <c r="N22" i="9"/>
  <c r="O22" i="9"/>
  <c r="I23" i="9"/>
  <c r="J23" i="9"/>
  <c r="K23" i="9"/>
  <c r="L23" i="9"/>
  <c r="M23" i="9"/>
  <c r="N23" i="9"/>
  <c r="O23" i="9"/>
  <c r="I24" i="9"/>
  <c r="J24" i="9"/>
  <c r="K24" i="9"/>
  <c r="L24" i="9"/>
  <c r="M24" i="9"/>
  <c r="N24" i="9"/>
  <c r="O24" i="9"/>
  <c r="I25" i="9"/>
  <c r="J25" i="9"/>
  <c r="K25" i="9"/>
  <c r="L25" i="9"/>
  <c r="M25" i="9"/>
  <c r="N25" i="9"/>
  <c r="O25" i="9"/>
  <c r="I26" i="9"/>
  <c r="J26" i="9"/>
  <c r="K26" i="9"/>
  <c r="L26" i="9"/>
  <c r="M26" i="9"/>
  <c r="N26" i="9"/>
  <c r="O26" i="9"/>
  <c r="I27" i="9"/>
  <c r="J27" i="9"/>
  <c r="K27" i="9"/>
  <c r="L27" i="9"/>
  <c r="M27" i="9"/>
  <c r="N27" i="9"/>
  <c r="O27" i="9"/>
  <c r="I28" i="9"/>
  <c r="J28" i="9"/>
  <c r="K28" i="9"/>
  <c r="L28" i="9"/>
  <c r="M28" i="9"/>
  <c r="N28" i="9"/>
  <c r="O28" i="9"/>
  <c r="I29" i="9"/>
  <c r="J29" i="9"/>
  <c r="K29" i="9"/>
  <c r="L29" i="9"/>
  <c r="M29" i="9"/>
  <c r="N29" i="9"/>
  <c r="O29" i="9"/>
  <c r="I30" i="9"/>
  <c r="J30" i="9"/>
  <c r="K30" i="9"/>
  <c r="L30" i="9"/>
  <c r="M30" i="9"/>
  <c r="N30" i="9"/>
  <c r="O30" i="9"/>
  <c r="I31" i="9"/>
  <c r="J31" i="9"/>
  <c r="K31" i="9"/>
  <c r="L31" i="9"/>
  <c r="M31" i="9"/>
  <c r="N31" i="9"/>
  <c r="O31" i="9"/>
  <c r="M9" i="9"/>
  <c r="N9" i="9" s="1"/>
  <c r="O9" i="9" s="1"/>
  <c r="P9" i="9" s="1"/>
  <c r="Q9" i="9" s="1"/>
  <c r="R9" i="9" s="1"/>
  <c r="S9" i="9" s="1"/>
  <c r="L9" i="9"/>
  <c r="K9" i="9"/>
  <c r="I9" i="9"/>
  <c r="E29" i="8"/>
  <c r="E28" i="8"/>
  <c r="D29" i="8"/>
  <c r="D28" i="8"/>
  <c r="J25" i="8" s="1"/>
  <c r="O53" i="2"/>
  <c r="N53" i="2"/>
  <c r="M53" i="2"/>
  <c r="L53" i="2"/>
  <c r="K53" i="2"/>
  <c r="J53" i="2"/>
  <c r="I53" i="2"/>
  <c r="H9" i="8"/>
  <c r="I9" i="8" s="1"/>
  <c r="J9" i="8" s="1"/>
  <c r="J65" i="7"/>
  <c r="K65" i="7"/>
  <c r="L65" i="7"/>
  <c r="M65" i="7"/>
  <c r="N65" i="7"/>
  <c r="O65" i="7"/>
  <c r="P65" i="7"/>
  <c r="L62" i="7"/>
  <c r="M62" i="7" s="1"/>
  <c r="N62" i="7" s="1"/>
  <c r="O62" i="7" s="1"/>
  <c r="P62" i="7" s="1"/>
  <c r="Q62" i="7" s="1"/>
  <c r="R62" i="7" s="1"/>
  <c r="S62" i="7" s="1"/>
  <c r="T62" i="7" s="1"/>
  <c r="J62" i="7"/>
  <c r="Q38" i="7"/>
  <c r="R38" i="7" s="1"/>
  <c r="Q40" i="7"/>
  <c r="R40" i="7" s="1"/>
  <c r="M30" i="7"/>
  <c r="K54" i="7"/>
  <c r="K64" i="7" s="1"/>
  <c r="L54" i="7"/>
  <c r="L64" i="7" s="1"/>
  <c r="M54" i="7"/>
  <c r="M64" i="7" s="1"/>
  <c r="N54" i="7"/>
  <c r="N64" i="7" s="1"/>
  <c r="O54" i="7"/>
  <c r="O64" i="7" s="1"/>
  <c r="P54" i="7"/>
  <c r="P64" i="7" s="1"/>
  <c r="J54" i="7"/>
  <c r="J64" i="7" s="1"/>
  <c r="L52" i="7"/>
  <c r="M52" i="7" s="1"/>
  <c r="N52" i="7" s="1"/>
  <c r="O52" i="7" s="1"/>
  <c r="P52" i="7" s="1"/>
  <c r="Q52" i="7" s="1"/>
  <c r="R52" i="7" s="1"/>
  <c r="S52" i="7" s="1"/>
  <c r="T52" i="7" s="1"/>
  <c r="J52" i="7"/>
  <c r="J76" i="7"/>
  <c r="K76" i="7"/>
  <c r="L76" i="7"/>
  <c r="M76" i="7"/>
  <c r="N76" i="7"/>
  <c r="O76" i="7"/>
  <c r="P76" i="7"/>
  <c r="J28" i="7"/>
  <c r="Q74" i="7"/>
  <c r="R74" i="7" s="1"/>
  <c r="K74" i="7"/>
  <c r="L74" i="7"/>
  <c r="M74" i="7"/>
  <c r="N74" i="7"/>
  <c r="O74" i="7"/>
  <c r="P74" i="7"/>
  <c r="L71" i="7"/>
  <c r="M71" i="7" s="1"/>
  <c r="N71" i="7" s="1"/>
  <c r="O71" i="7" s="1"/>
  <c r="P71" i="7" s="1"/>
  <c r="R71" i="7" s="1"/>
  <c r="S71" i="7" s="1"/>
  <c r="T71" i="7" s="1"/>
  <c r="U71" i="7" s="1"/>
  <c r="J71" i="7"/>
  <c r="J43" i="7"/>
  <c r="J46" i="7" s="1"/>
  <c r="J56" i="7" s="1"/>
  <c r="M43" i="7"/>
  <c r="M46" i="7" s="1"/>
  <c r="M56" i="7" s="1"/>
  <c r="J37" i="7"/>
  <c r="J41" i="7" s="1"/>
  <c r="J32" i="7"/>
  <c r="J77" i="7" s="1"/>
  <c r="K32" i="7"/>
  <c r="K77" i="7" s="1"/>
  <c r="K30" i="7"/>
  <c r="K28" i="7"/>
  <c r="K37" i="7"/>
  <c r="K41" i="7" s="1"/>
  <c r="L37" i="7"/>
  <c r="L41" i="7" s="1"/>
  <c r="L32" i="7"/>
  <c r="L77" i="7" s="1"/>
  <c r="L30" i="7"/>
  <c r="L28" i="7"/>
  <c r="J22" i="7"/>
  <c r="K22" i="7"/>
  <c r="L22" i="7"/>
  <c r="M22" i="7"/>
  <c r="N22" i="7"/>
  <c r="M37" i="7"/>
  <c r="M41" i="7" s="1"/>
  <c r="M32" i="7"/>
  <c r="M77" i="7" s="1"/>
  <c r="M28" i="7"/>
  <c r="N37" i="7"/>
  <c r="N41" i="7" s="1"/>
  <c r="N32" i="7"/>
  <c r="N77" i="7" s="1"/>
  <c r="N30" i="7"/>
  <c r="N28" i="7"/>
  <c r="O37" i="7"/>
  <c r="O41" i="7" s="1"/>
  <c r="P42" i="7"/>
  <c r="P37" i="7"/>
  <c r="O32" i="7"/>
  <c r="O77" i="7" s="1"/>
  <c r="P32" i="7"/>
  <c r="P77" i="7" s="1"/>
  <c r="P30" i="7"/>
  <c r="O30" i="7"/>
  <c r="O28" i="7"/>
  <c r="P28" i="7"/>
  <c r="P25" i="7"/>
  <c r="O25" i="7"/>
  <c r="P20" i="7"/>
  <c r="O20" i="7"/>
  <c r="J18" i="7"/>
  <c r="K18" i="7"/>
  <c r="L18" i="7"/>
  <c r="M18" i="7"/>
  <c r="N18" i="7"/>
  <c r="O18" i="7"/>
  <c r="P18" i="7"/>
  <c r="J17" i="7"/>
  <c r="K17" i="7"/>
  <c r="L17" i="7"/>
  <c r="M17" i="7"/>
  <c r="N17" i="7"/>
  <c r="O17" i="7"/>
  <c r="P17" i="7"/>
  <c r="J16" i="7"/>
  <c r="K16" i="7"/>
  <c r="L16" i="7"/>
  <c r="M16" i="7"/>
  <c r="N16" i="7"/>
  <c r="O16" i="7"/>
  <c r="P16" i="7"/>
  <c r="L9" i="7"/>
  <c r="M9" i="7" s="1"/>
  <c r="N9" i="7" s="1"/>
  <c r="O9" i="7" s="1"/>
  <c r="P9" i="7" s="1"/>
  <c r="Q9" i="7" s="1"/>
  <c r="R9" i="7" s="1"/>
  <c r="S9" i="7" s="1"/>
  <c r="T9" i="7" s="1"/>
  <c r="J9" i="7"/>
  <c r="I73" i="3"/>
  <c r="J73" i="3"/>
  <c r="K73" i="3"/>
  <c r="L73" i="3"/>
  <c r="M73" i="3"/>
  <c r="N73" i="3"/>
  <c r="O73" i="3"/>
  <c r="Z12" i="5"/>
  <c r="AC12" i="5"/>
  <c r="AF12" i="5"/>
  <c r="AI12" i="5"/>
  <c r="Y29" i="5"/>
  <c r="AB29" i="5" s="1"/>
  <c r="AE29" i="5" s="1"/>
  <c r="AH29" i="5" s="1"/>
  <c r="AB34" i="5"/>
  <c r="AE34" i="5" s="1"/>
  <c r="AH34" i="5" s="1"/>
  <c r="AD35" i="5"/>
  <c r="AG35" i="5" s="1"/>
  <c r="AJ35" i="5" s="1"/>
  <c r="AB35" i="5"/>
  <c r="AE35" i="5" s="1"/>
  <c r="AH35" i="5" s="1"/>
  <c r="AD30" i="5"/>
  <c r="AG30" i="5" s="1"/>
  <c r="AJ30" i="5" s="1"/>
  <c r="AB30" i="5"/>
  <c r="AE30" i="5" s="1"/>
  <c r="AH30" i="5" s="1"/>
  <c r="Z30" i="5"/>
  <c r="Z35" i="5" s="1"/>
  <c r="AC35" i="5" s="1"/>
  <c r="AF35" i="5" s="1"/>
  <c r="AI35" i="5" s="1"/>
  <c r="AD25" i="5"/>
  <c r="AG25" i="5" s="1"/>
  <c r="AJ25" i="5" s="1"/>
  <c r="AC25" i="5"/>
  <c r="AF25" i="5" s="1"/>
  <c r="AI25" i="5" s="1"/>
  <c r="AB25" i="5"/>
  <c r="AE25" i="5" s="1"/>
  <c r="AH25" i="5" s="1"/>
  <c r="AB24" i="5"/>
  <c r="AE24" i="5" s="1"/>
  <c r="AH24" i="5" s="1"/>
  <c r="Y14" i="5"/>
  <c r="AB14" i="5" s="1"/>
  <c r="AE14" i="5" s="1"/>
  <c r="AH14" i="5" s="1"/>
  <c r="Z15" i="5"/>
  <c r="AA15" i="5"/>
  <c r="Y15" i="5"/>
  <c r="AD10" i="5"/>
  <c r="AG10" i="5" s="1"/>
  <c r="AJ10" i="5" s="1"/>
  <c r="AJ15" i="5" s="1"/>
  <c r="AC10" i="5"/>
  <c r="AC15" i="5" s="1"/>
  <c r="AB10" i="5"/>
  <c r="AE10" i="5" s="1"/>
  <c r="AB9" i="5"/>
  <c r="AE9" i="5" s="1"/>
  <c r="AH9" i="5" s="1"/>
  <c r="J85" i="3"/>
  <c r="I84" i="3"/>
  <c r="J84" i="3"/>
  <c r="K84" i="3"/>
  <c r="M84" i="3"/>
  <c r="N84" i="3"/>
  <c r="O84" i="3"/>
  <c r="P84" i="3" s="1"/>
  <c r="G65" i="5"/>
  <c r="F67" i="5"/>
  <c r="G67" i="5"/>
  <c r="F68" i="5"/>
  <c r="G68" i="5"/>
  <c r="F69" i="5"/>
  <c r="G69" i="5"/>
  <c r="F70" i="5"/>
  <c r="G70" i="5"/>
  <c r="F71" i="5"/>
  <c r="G71" i="5"/>
  <c r="F72" i="5"/>
  <c r="G72" i="5"/>
  <c r="H56" i="5"/>
  <c r="I56" i="5" s="1"/>
  <c r="J56" i="5" s="1"/>
  <c r="K56" i="5" s="1"/>
  <c r="L56" i="5" s="1"/>
  <c r="M56" i="5" s="1"/>
  <c r="N56" i="5" s="1"/>
  <c r="O56" i="5" s="1"/>
  <c r="P56" i="5" s="1"/>
  <c r="F56" i="5"/>
  <c r="H64" i="5"/>
  <c r="H67" i="5" s="1"/>
  <c r="I64" i="5"/>
  <c r="I67" i="5" s="1"/>
  <c r="J64" i="5"/>
  <c r="J68" i="5" s="1"/>
  <c r="K64" i="5"/>
  <c r="K69" i="5" s="1"/>
  <c r="L64" i="5"/>
  <c r="AF47" i="5"/>
  <c r="AF51" i="5" s="1"/>
  <c r="AE47" i="5"/>
  <c r="AE50" i="5" s="1"/>
  <c r="AD47" i="5"/>
  <c r="AD49" i="5" s="1"/>
  <c r="AB47" i="5"/>
  <c r="AB50" i="5" s="1"/>
  <c r="AA47" i="5"/>
  <c r="AA51" i="5" s="1"/>
  <c r="Z47" i="5"/>
  <c r="Z51" i="5" s="1"/>
  <c r="AC47" i="5"/>
  <c r="AC51" i="5" s="1"/>
  <c r="L45" i="5"/>
  <c r="J45" i="5"/>
  <c r="I45" i="5"/>
  <c r="H45" i="5"/>
  <c r="G45" i="5"/>
  <c r="F45" i="5"/>
  <c r="F49" i="5" s="1"/>
  <c r="L56" i="3"/>
  <c r="L83" i="10" s="1"/>
  <c r="K57" i="3"/>
  <c r="K84" i="10" s="1"/>
  <c r="K58" i="3"/>
  <c r="K85" i="10" s="1"/>
  <c r="I58" i="3"/>
  <c r="J85" i="10" s="1"/>
  <c r="K45" i="5"/>
  <c r="AB42" i="5"/>
  <c r="AC42" i="5" s="1"/>
  <c r="AD42" i="5" s="1"/>
  <c r="AE42" i="5" s="1"/>
  <c r="AF42" i="5" s="1"/>
  <c r="AG42" i="5" s="1"/>
  <c r="AH42" i="5" s="1"/>
  <c r="AI42" i="5" s="1"/>
  <c r="AJ42" i="5" s="1"/>
  <c r="Z42" i="5"/>
  <c r="F42" i="5"/>
  <c r="H42" i="5"/>
  <c r="I42" i="5" s="1"/>
  <c r="J42" i="5" s="1"/>
  <c r="K42" i="5" s="1"/>
  <c r="L42" i="5" s="1"/>
  <c r="M42" i="5" s="1"/>
  <c r="N42" i="5" s="1"/>
  <c r="O42" i="5" s="1"/>
  <c r="P42" i="5" s="1"/>
  <c r="P49" i="2"/>
  <c r="Q49" i="2" s="1"/>
  <c r="J49" i="2"/>
  <c r="K49" i="2"/>
  <c r="L49" i="2"/>
  <c r="M49" i="2"/>
  <c r="N49" i="2"/>
  <c r="O49" i="2"/>
  <c r="K83" i="3"/>
  <c r="L83" i="3"/>
  <c r="P83" i="3" s="1"/>
  <c r="M83" i="3"/>
  <c r="N83" i="3"/>
  <c r="O83" i="3"/>
  <c r="J83" i="3"/>
  <c r="K79" i="3"/>
  <c r="L79" i="3"/>
  <c r="M79" i="3"/>
  <c r="N79" i="3"/>
  <c r="O79" i="3"/>
  <c r="J79" i="3"/>
  <c r="J72" i="3"/>
  <c r="K72" i="3"/>
  <c r="L72" i="3"/>
  <c r="M72" i="3"/>
  <c r="N72" i="3"/>
  <c r="O72" i="3"/>
  <c r="I71" i="3"/>
  <c r="J71" i="3"/>
  <c r="K71" i="3"/>
  <c r="L71" i="3"/>
  <c r="M71" i="3"/>
  <c r="N71" i="3"/>
  <c r="O71" i="3"/>
  <c r="J69" i="3"/>
  <c r="K69" i="3"/>
  <c r="L69" i="3"/>
  <c r="M69" i="3"/>
  <c r="N69" i="3"/>
  <c r="O69" i="3"/>
  <c r="V36" i="5"/>
  <c r="V31" i="5"/>
  <c r="V26" i="5"/>
  <c r="S31" i="5"/>
  <c r="S36" i="5"/>
  <c r="S26" i="5"/>
  <c r="V11" i="5"/>
  <c r="V16" i="5"/>
  <c r="S16" i="5"/>
  <c r="S11" i="5"/>
  <c r="P36" i="5"/>
  <c r="P31" i="5"/>
  <c r="P26" i="5"/>
  <c r="M36" i="5"/>
  <c r="M31" i="5"/>
  <c r="M26" i="5"/>
  <c r="P16" i="5"/>
  <c r="P11" i="5"/>
  <c r="M16" i="5"/>
  <c r="M11" i="5"/>
  <c r="J16" i="5"/>
  <c r="J11" i="5"/>
  <c r="J36" i="5"/>
  <c r="J31" i="5"/>
  <c r="J26" i="5"/>
  <c r="G16" i="5"/>
  <c r="G11" i="5"/>
  <c r="G31" i="5"/>
  <c r="G26" i="5"/>
  <c r="D31" i="5"/>
  <c r="E31" i="5" s="1"/>
  <c r="F31" i="5" s="1"/>
  <c r="E36" i="5"/>
  <c r="F36" i="5" s="1"/>
  <c r="H36" i="5" s="1"/>
  <c r="H35" i="5"/>
  <c r="K35" i="5" s="1"/>
  <c r="N35" i="5" s="1"/>
  <c r="Q35" i="5" s="1"/>
  <c r="T35" i="5" s="1"/>
  <c r="W35" i="5" s="1"/>
  <c r="F35" i="5"/>
  <c r="I35" i="5" s="1"/>
  <c r="L35" i="5" s="1"/>
  <c r="O35" i="5" s="1"/>
  <c r="R35" i="5" s="1"/>
  <c r="U35" i="5" s="1"/>
  <c r="C34" i="5"/>
  <c r="F34" i="5" s="1"/>
  <c r="I34" i="5" s="1"/>
  <c r="L34" i="5" s="1"/>
  <c r="O34" i="5" s="1"/>
  <c r="R34" i="5" s="1"/>
  <c r="U34" i="5" s="1"/>
  <c r="D26" i="5"/>
  <c r="E26" i="5" s="1"/>
  <c r="F26" i="5" s="1"/>
  <c r="H30" i="5"/>
  <c r="K30" i="5" s="1"/>
  <c r="N30" i="5" s="1"/>
  <c r="Q30" i="5" s="1"/>
  <c r="T30" i="5" s="1"/>
  <c r="W30" i="5" s="1"/>
  <c r="F30" i="5"/>
  <c r="I30" i="5" s="1"/>
  <c r="L30" i="5" s="1"/>
  <c r="O30" i="5" s="1"/>
  <c r="R30" i="5" s="1"/>
  <c r="U30" i="5" s="1"/>
  <c r="D30" i="5"/>
  <c r="D35" i="5" s="1"/>
  <c r="G35" i="5" s="1"/>
  <c r="J35" i="5" s="1"/>
  <c r="M35" i="5" s="1"/>
  <c r="P35" i="5" s="1"/>
  <c r="S35" i="5" s="1"/>
  <c r="V35" i="5" s="1"/>
  <c r="C29" i="5"/>
  <c r="F29" i="5" s="1"/>
  <c r="I29" i="5" s="1"/>
  <c r="L29" i="5" s="1"/>
  <c r="O29" i="5" s="1"/>
  <c r="R29" i="5" s="1"/>
  <c r="U29" i="5" s="1"/>
  <c r="H25" i="5"/>
  <c r="K25" i="5" s="1"/>
  <c r="N25" i="5" s="1"/>
  <c r="Q25" i="5" s="1"/>
  <c r="T25" i="5" s="1"/>
  <c r="W25" i="5" s="1"/>
  <c r="G25" i="5"/>
  <c r="J25" i="5" s="1"/>
  <c r="M25" i="5" s="1"/>
  <c r="P25" i="5" s="1"/>
  <c r="S25" i="5" s="1"/>
  <c r="V25" i="5" s="1"/>
  <c r="F25" i="5"/>
  <c r="I25" i="5" s="1"/>
  <c r="L25" i="5" s="1"/>
  <c r="O25" i="5" s="1"/>
  <c r="R25" i="5" s="1"/>
  <c r="U25" i="5" s="1"/>
  <c r="C24" i="5"/>
  <c r="F24" i="5" s="1"/>
  <c r="I24" i="5" s="1"/>
  <c r="L24" i="5" s="1"/>
  <c r="O24" i="5" s="1"/>
  <c r="R24" i="5" s="1"/>
  <c r="U24" i="5" s="1"/>
  <c r="D16" i="5"/>
  <c r="D11" i="5"/>
  <c r="E11" i="5" s="1"/>
  <c r="D15" i="5"/>
  <c r="G15" i="5" s="1"/>
  <c r="J15" i="5" s="1"/>
  <c r="M15" i="5" s="1"/>
  <c r="P15" i="5" s="1"/>
  <c r="S15" i="5" s="1"/>
  <c r="V15" i="5" s="1"/>
  <c r="H15" i="5"/>
  <c r="K15" i="5" s="1"/>
  <c r="N15" i="5" s="1"/>
  <c r="Q15" i="5" s="1"/>
  <c r="T15" i="5" s="1"/>
  <c r="W15" i="5" s="1"/>
  <c r="F15" i="5"/>
  <c r="I15" i="5" s="1"/>
  <c r="L15" i="5" s="1"/>
  <c r="O15" i="5" s="1"/>
  <c r="R15" i="5" s="1"/>
  <c r="U15" i="5" s="1"/>
  <c r="C14" i="5"/>
  <c r="F14" i="5" s="1"/>
  <c r="I14" i="5" s="1"/>
  <c r="L14" i="5" s="1"/>
  <c r="O14" i="5" s="1"/>
  <c r="R14" i="5" s="1"/>
  <c r="U14" i="5" s="1"/>
  <c r="G10" i="5"/>
  <c r="J10" i="5" s="1"/>
  <c r="M10" i="5" s="1"/>
  <c r="P10" i="5" s="1"/>
  <c r="S10" i="5" s="1"/>
  <c r="V10" i="5" s="1"/>
  <c r="H10" i="5"/>
  <c r="K10" i="5" s="1"/>
  <c r="N10" i="5" s="1"/>
  <c r="Q10" i="5" s="1"/>
  <c r="T10" i="5" s="1"/>
  <c r="W10" i="5" s="1"/>
  <c r="F10" i="5"/>
  <c r="I10" i="5" s="1"/>
  <c r="L10" i="5" s="1"/>
  <c r="O10" i="5" s="1"/>
  <c r="R10" i="5" s="1"/>
  <c r="U10" i="5" s="1"/>
  <c r="C9" i="5"/>
  <c r="F9" i="5" s="1"/>
  <c r="I9" i="5" s="1"/>
  <c r="L9" i="5" s="1"/>
  <c r="O9" i="5" s="1"/>
  <c r="R9" i="5" s="1"/>
  <c r="U9" i="5" s="1"/>
  <c r="I68" i="3"/>
  <c r="J68" i="3"/>
  <c r="K68" i="3"/>
  <c r="L68" i="3"/>
  <c r="M68" i="3"/>
  <c r="N68" i="3"/>
  <c r="O68" i="3"/>
  <c r="K66" i="3"/>
  <c r="L66" i="3" s="1"/>
  <c r="M66" i="3" s="1"/>
  <c r="N66" i="3" s="1"/>
  <c r="O66" i="3" s="1"/>
  <c r="Q66" i="3" s="1"/>
  <c r="R66" i="3" s="1"/>
  <c r="S66" i="3" s="1"/>
  <c r="T66" i="3" s="1"/>
  <c r="I66" i="3"/>
  <c r="L43" i="2"/>
  <c r="I35" i="2"/>
  <c r="I56" i="4" s="1"/>
  <c r="K35" i="2"/>
  <c r="K59" i="4" s="1"/>
  <c r="J35" i="2"/>
  <c r="L35" i="2"/>
  <c r="L56" i="4" s="1"/>
  <c r="M35" i="2"/>
  <c r="M56" i="4" s="1"/>
  <c r="N35" i="2"/>
  <c r="N59" i="4" s="1"/>
  <c r="O35" i="2"/>
  <c r="R11" i="4"/>
  <c r="Q11" i="4"/>
  <c r="O39" i="3"/>
  <c r="O41" i="3" s="1"/>
  <c r="N39" i="3"/>
  <c r="M39" i="3"/>
  <c r="M66" i="10" s="1"/>
  <c r="L39" i="3"/>
  <c r="L41" i="3" s="1"/>
  <c r="K39" i="3"/>
  <c r="K41" i="3" s="1"/>
  <c r="J39" i="3"/>
  <c r="J41" i="3" s="1"/>
  <c r="J28" i="4" s="1"/>
  <c r="I39" i="3"/>
  <c r="M46" i="3"/>
  <c r="M85" i="3" s="1"/>
  <c r="L46" i="3"/>
  <c r="L85" i="3" s="1"/>
  <c r="O46" i="3"/>
  <c r="N46" i="3"/>
  <c r="N85" i="3" s="1"/>
  <c r="I46" i="3"/>
  <c r="J77" i="3" s="1"/>
  <c r="K46" i="3"/>
  <c r="K28" i="4" s="1"/>
  <c r="J48" i="3"/>
  <c r="K75" i="10" s="1"/>
  <c r="I55" i="4"/>
  <c r="J55" i="4"/>
  <c r="K55" i="4"/>
  <c r="L55" i="4"/>
  <c r="M55" i="4"/>
  <c r="N55" i="4"/>
  <c r="O55" i="4"/>
  <c r="K20" i="4"/>
  <c r="L20" i="4"/>
  <c r="M20" i="4"/>
  <c r="N20" i="4"/>
  <c r="O20" i="4"/>
  <c r="J20" i="4"/>
  <c r="P54" i="2"/>
  <c r="Q54" i="2" s="1"/>
  <c r="R54" i="2" s="1"/>
  <c r="S54" i="2" s="1"/>
  <c r="T54" i="2" s="1"/>
  <c r="I9" i="4"/>
  <c r="J50" i="2"/>
  <c r="K50" i="2"/>
  <c r="L50" i="2"/>
  <c r="M50" i="2"/>
  <c r="N50" i="2"/>
  <c r="O50" i="2"/>
  <c r="J47" i="2"/>
  <c r="J43" i="2"/>
  <c r="K43" i="2"/>
  <c r="M43" i="2"/>
  <c r="N43" i="2"/>
  <c r="O43" i="2"/>
  <c r="I17" i="2"/>
  <c r="I44" i="4" s="1"/>
  <c r="I40" i="2"/>
  <c r="I11" i="2"/>
  <c r="I13" i="2" s="1"/>
  <c r="I75" i="3" s="1"/>
  <c r="I59" i="3"/>
  <c r="I55" i="3"/>
  <c r="I46" i="4" s="1"/>
  <c r="I50" i="3"/>
  <c r="I30" i="3"/>
  <c r="I33" i="3" s="1"/>
  <c r="I18" i="3"/>
  <c r="I16" i="3"/>
  <c r="I9" i="3"/>
  <c r="I9" i="2"/>
  <c r="K9" i="4"/>
  <c r="L9" i="4" s="1"/>
  <c r="M9" i="4" s="1"/>
  <c r="N9" i="4" s="1"/>
  <c r="O9" i="4" s="1"/>
  <c r="S9" i="4" s="1"/>
  <c r="T9" i="4" s="1"/>
  <c r="U9" i="4" s="1"/>
  <c r="V9" i="4" s="1"/>
  <c r="O30" i="3"/>
  <c r="O33" i="3" s="1"/>
  <c r="N30" i="3"/>
  <c r="N33" i="3" s="1"/>
  <c r="O55" i="3"/>
  <c r="O46" i="4" s="1"/>
  <c r="O50" i="4" s="1"/>
  <c r="N55" i="3"/>
  <c r="N46" i="4" s="1"/>
  <c r="N50" i="4" s="1"/>
  <c r="K55" i="3"/>
  <c r="K46" i="4" s="1"/>
  <c r="K50" i="4" s="1"/>
  <c r="J55" i="3"/>
  <c r="J46" i="4" s="1"/>
  <c r="J50" i="4" s="1"/>
  <c r="J30" i="3"/>
  <c r="J33" i="3" s="1"/>
  <c r="K30" i="3"/>
  <c r="L30" i="3"/>
  <c r="L33" i="3" s="1"/>
  <c r="M30" i="3"/>
  <c r="M33" i="3" s="1"/>
  <c r="M55" i="3"/>
  <c r="M46" i="4" s="1"/>
  <c r="M50" i="4" s="1"/>
  <c r="L55" i="3"/>
  <c r="L46" i="4" s="1"/>
  <c r="L50" i="4" s="1"/>
  <c r="J59" i="3"/>
  <c r="K59" i="3"/>
  <c r="K50" i="3"/>
  <c r="J50" i="3"/>
  <c r="J18" i="3"/>
  <c r="J45" i="10" s="1"/>
  <c r="K18" i="3"/>
  <c r="K16" i="3"/>
  <c r="J16" i="3"/>
  <c r="J43" i="10" s="1"/>
  <c r="M59" i="3"/>
  <c r="M86" i="10" s="1"/>
  <c r="L59" i="3"/>
  <c r="L50" i="3"/>
  <c r="M50" i="3"/>
  <c r="M18" i="3"/>
  <c r="M45" i="10" s="1"/>
  <c r="L18" i="3"/>
  <c r="L45" i="10" s="1"/>
  <c r="L16" i="3"/>
  <c r="L43" i="10" s="1"/>
  <c r="M16" i="3"/>
  <c r="M43" i="10" s="1"/>
  <c r="O59" i="3"/>
  <c r="N59" i="3"/>
  <c r="N86" i="10" s="1"/>
  <c r="N50" i="3"/>
  <c r="O50" i="3"/>
  <c r="O18" i="3"/>
  <c r="O45" i="10" s="1"/>
  <c r="N18" i="3"/>
  <c r="N45" i="10" s="1"/>
  <c r="N16" i="3"/>
  <c r="N43" i="10" s="1"/>
  <c r="O16" i="3"/>
  <c r="K47" i="2"/>
  <c r="L47" i="2"/>
  <c r="M47" i="2"/>
  <c r="N47" i="2"/>
  <c r="O47" i="2"/>
  <c r="K9" i="3"/>
  <c r="L9" i="3" s="1"/>
  <c r="M9" i="3" s="1"/>
  <c r="N9" i="3" s="1"/>
  <c r="O9" i="3" s="1"/>
  <c r="P9" i="3" s="1"/>
  <c r="Q9" i="3" s="1"/>
  <c r="R9" i="3" s="1"/>
  <c r="S9" i="3" s="1"/>
  <c r="K40" i="2"/>
  <c r="L40" i="2" s="1"/>
  <c r="M40" i="2" s="1"/>
  <c r="N40" i="2" s="1"/>
  <c r="O40" i="2" s="1"/>
  <c r="Q40" i="2" s="1"/>
  <c r="R40" i="2" s="1"/>
  <c r="S40" i="2" s="1"/>
  <c r="T40" i="2" s="1"/>
  <c r="N17" i="2"/>
  <c r="N44" i="4" s="1"/>
  <c r="N48" i="4" s="1"/>
  <c r="O17" i="2"/>
  <c r="O44" i="4" s="1"/>
  <c r="O48" i="4" s="1"/>
  <c r="M17" i="2"/>
  <c r="M44" i="4" s="1"/>
  <c r="M48" i="4" s="1"/>
  <c r="L17" i="2"/>
  <c r="L44" i="4" s="1"/>
  <c r="L48" i="4" s="1"/>
  <c r="K17" i="2"/>
  <c r="K44" i="4" s="1"/>
  <c r="K48" i="4" s="1"/>
  <c r="J17" i="2"/>
  <c r="J44" i="4" s="1"/>
  <c r="J48" i="4" s="1"/>
  <c r="M11" i="2"/>
  <c r="M13" i="2" s="1"/>
  <c r="L11" i="2"/>
  <c r="L13" i="2" s="1"/>
  <c r="L46" i="2" s="1"/>
  <c r="O11" i="2"/>
  <c r="N11" i="2"/>
  <c r="K11" i="2"/>
  <c r="K13" i="2" s="1"/>
  <c r="K46" i="2" s="1"/>
  <c r="J11" i="2"/>
  <c r="J13" i="2" s="1"/>
  <c r="J46" i="2" s="1"/>
  <c r="K9" i="2"/>
  <c r="L9" i="2" s="1"/>
  <c r="M9" i="2" s="1"/>
  <c r="N9" i="2" s="1"/>
  <c r="O9" i="2" s="1"/>
  <c r="Q42" i="4" l="1"/>
  <c r="R44" i="4"/>
  <c r="R46" i="4"/>
  <c r="R60" i="4"/>
  <c r="Q46" i="4"/>
  <c r="Q44" i="4"/>
  <c r="R39" i="4"/>
  <c r="R38" i="4"/>
  <c r="Q39" i="4"/>
  <c r="Q38" i="4"/>
  <c r="Q37" i="7"/>
  <c r="R37" i="7" s="1"/>
  <c r="X36" i="5"/>
  <c r="Z36" i="5" s="1"/>
  <c r="E16" i="5"/>
  <c r="F16" i="5" s="1"/>
  <c r="H16" i="5" s="1"/>
  <c r="I16" i="5" s="1"/>
  <c r="K16" i="5" s="1"/>
  <c r="L16" i="5" s="1"/>
  <c r="E17" i="5"/>
  <c r="O86" i="10"/>
  <c r="K66" i="10"/>
  <c r="K68" i="10"/>
  <c r="P69" i="3"/>
  <c r="M82" i="10"/>
  <c r="M60" i="10"/>
  <c r="L68" i="10"/>
  <c r="O77" i="10"/>
  <c r="N66" i="10"/>
  <c r="P79" i="3"/>
  <c r="K43" i="10"/>
  <c r="N82" i="10"/>
  <c r="N77" i="10"/>
  <c r="J75" i="10"/>
  <c r="J73" i="10"/>
  <c r="L66" i="10"/>
  <c r="J60" i="10"/>
  <c r="K45" i="10"/>
  <c r="O43" i="10"/>
  <c r="L86" i="10"/>
  <c r="L82" i="10"/>
  <c r="L77" i="10"/>
  <c r="J66" i="10"/>
  <c r="O57" i="10"/>
  <c r="K86" i="10"/>
  <c r="M83" i="10"/>
  <c r="K82" i="10"/>
  <c r="K77" i="10"/>
  <c r="O73" i="10"/>
  <c r="O60" i="10"/>
  <c r="N57" i="10"/>
  <c r="M77" i="10"/>
  <c r="J30" i="8"/>
  <c r="N13" i="8" s="1"/>
  <c r="J86" i="10"/>
  <c r="L85" i="10"/>
  <c r="J82" i="10"/>
  <c r="J77" i="10"/>
  <c r="N73" i="10"/>
  <c r="N60" i="10"/>
  <c r="M57" i="10"/>
  <c r="O22" i="8"/>
  <c r="J27" i="11" s="1"/>
  <c r="M73" i="10"/>
  <c r="O66" i="10"/>
  <c r="L57" i="10"/>
  <c r="L84" i="10"/>
  <c r="L73" i="10"/>
  <c r="K57" i="10"/>
  <c r="O82" i="10"/>
  <c r="K73" i="10"/>
  <c r="J57" i="10"/>
  <c r="L66" i="7"/>
  <c r="L78" i="7" s="1"/>
  <c r="J11" i="11"/>
  <c r="H11" i="11"/>
  <c r="G11" i="11"/>
  <c r="J26" i="8"/>
  <c r="J28" i="8" s="1"/>
  <c r="N75" i="7"/>
  <c r="M75" i="7"/>
  <c r="L75" i="7"/>
  <c r="J66" i="7"/>
  <c r="J78" i="7" s="1"/>
  <c r="K66" i="7"/>
  <c r="K78" i="7" s="1"/>
  <c r="O28" i="4"/>
  <c r="P73" i="3"/>
  <c r="Q73" i="3" s="1"/>
  <c r="P21" i="3" s="1"/>
  <c r="P48" i="10" s="1"/>
  <c r="M66" i="7"/>
  <c r="M78" i="7" s="1"/>
  <c r="L28" i="4"/>
  <c r="Q77" i="7"/>
  <c r="R77" i="7" s="1"/>
  <c r="S77" i="7" s="1"/>
  <c r="P66" i="7"/>
  <c r="P78" i="7" s="1"/>
  <c r="J30" i="7"/>
  <c r="Q30" i="7" s="1"/>
  <c r="N66" i="7"/>
  <c r="N78" i="7" s="1"/>
  <c r="O66" i="7"/>
  <c r="O78" i="7" s="1"/>
  <c r="S38" i="7"/>
  <c r="T38" i="7" s="1"/>
  <c r="P73" i="7"/>
  <c r="S40" i="7"/>
  <c r="T40" i="7" s="1"/>
  <c r="M55" i="7"/>
  <c r="K75" i="7"/>
  <c r="J55" i="7"/>
  <c r="S74" i="7"/>
  <c r="T74" i="7" s="1"/>
  <c r="U74" i="7" s="1"/>
  <c r="Q29" i="7"/>
  <c r="J75" i="7"/>
  <c r="Q76" i="7"/>
  <c r="R76" i="7" s="1"/>
  <c r="P34" i="7"/>
  <c r="P43" i="7" s="1"/>
  <c r="P46" i="7" s="1"/>
  <c r="O34" i="7"/>
  <c r="O43" i="7" s="1"/>
  <c r="O46" i="7" s="1"/>
  <c r="O56" i="7" s="1"/>
  <c r="O55" i="7" s="1"/>
  <c r="M33" i="7"/>
  <c r="P41" i="7"/>
  <c r="Q41" i="7" s="1"/>
  <c r="R41" i="7" s="1"/>
  <c r="S41" i="7" s="1"/>
  <c r="T41" i="7" s="1"/>
  <c r="AD15" i="5"/>
  <c r="AB15" i="5"/>
  <c r="AC30" i="5"/>
  <c r="AF30" i="5" s="1"/>
  <c r="AI30" i="5" s="1"/>
  <c r="AH10" i="5"/>
  <c r="AH15" i="5" s="1"/>
  <c r="AE15" i="5"/>
  <c r="AG15" i="5"/>
  <c r="AF10" i="5"/>
  <c r="AF15" i="5" s="1"/>
  <c r="K85" i="3"/>
  <c r="O85" i="3"/>
  <c r="I85" i="3"/>
  <c r="Q84" i="3"/>
  <c r="R84" i="3" s="1"/>
  <c r="S84" i="3" s="1"/>
  <c r="T84" i="3" s="1"/>
  <c r="J70" i="3"/>
  <c r="K77" i="3"/>
  <c r="N77" i="3"/>
  <c r="M77" i="3"/>
  <c r="L70" i="3"/>
  <c r="L77" i="3"/>
  <c r="O77" i="3"/>
  <c r="L84" i="3"/>
  <c r="Q69" i="3"/>
  <c r="P17" i="3" s="1"/>
  <c r="P44" i="10" s="1"/>
  <c r="Q83" i="3"/>
  <c r="R83" i="3" s="1"/>
  <c r="S83" i="3" s="1"/>
  <c r="T83" i="3" s="1"/>
  <c r="H69" i="5"/>
  <c r="K72" i="5"/>
  <c r="L65" i="5"/>
  <c r="Q50" i="2"/>
  <c r="P25" i="2" s="1"/>
  <c r="P43" i="2"/>
  <c r="Q43" i="2" s="1"/>
  <c r="R43" i="2" s="1"/>
  <c r="S43" i="2" s="1"/>
  <c r="T43" i="2" s="1"/>
  <c r="K70" i="5"/>
  <c r="L72" i="5"/>
  <c r="I71" i="5"/>
  <c r="H71" i="5"/>
  <c r="J69" i="5"/>
  <c r="I65" i="5"/>
  <c r="H65" i="5"/>
  <c r="H68" i="5"/>
  <c r="J72" i="5"/>
  <c r="I69" i="5"/>
  <c r="I70" i="5"/>
  <c r="F47" i="5"/>
  <c r="L71" i="5"/>
  <c r="J70" i="5"/>
  <c r="I72" i="5"/>
  <c r="G12" i="5"/>
  <c r="K71" i="5"/>
  <c r="H70" i="5"/>
  <c r="I68" i="5"/>
  <c r="K65" i="5"/>
  <c r="J71" i="5"/>
  <c r="J65" i="5"/>
  <c r="L67" i="5"/>
  <c r="L68" i="5"/>
  <c r="K67" i="5"/>
  <c r="H72" i="5"/>
  <c r="L69" i="5"/>
  <c r="K68" i="5"/>
  <c r="J67" i="5"/>
  <c r="L70" i="5"/>
  <c r="AE51" i="5"/>
  <c r="AD51" i="5"/>
  <c r="AF50" i="5"/>
  <c r="AD50" i="5"/>
  <c r="AC50" i="5"/>
  <c r="AF49" i="5"/>
  <c r="AC49" i="5"/>
  <c r="Z49" i="5"/>
  <c r="AA49" i="5"/>
  <c r="AB51" i="5"/>
  <c r="AA50" i="5"/>
  <c r="Z50" i="5"/>
  <c r="AE49" i="5"/>
  <c r="AB49" i="5"/>
  <c r="O70" i="3"/>
  <c r="M70" i="3"/>
  <c r="Q79" i="3"/>
  <c r="P68" i="3"/>
  <c r="Q68" i="3" s="1"/>
  <c r="O51" i="3"/>
  <c r="M41" i="3"/>
  <c r="P72" i="3"/>
  <c r="Q72" i="3" s="1"/>
  <c r="P20" i="3" s="1"/>
  <c r="P47" i="10" s="1"/>
  <c r="N70" i="3"/>
  <c r="K70" i="3"/>
  <c r="I41" i="3"/>
  <c r="G12" i="8"/>
  <c r="G12" i="11" s="1"/>
  <c r="R49" i="2"/>
  <c r="S49" i="2" s="1"/>
  <c r="T49" i="2" s="1"/>
  <c r="K56" i="4"/>
  <c r="L21" i="4"/>
  <c r="L80" i="3"/>
  <c r="K80" i="3"/>
  <c r="P27" i="5"/>
  <c r="L75" i="3"/>
  <c r="L59" i="4"/>
  <c r="L45" i="4"/>
  <c r="L49" i="4" s="1"/>
  <c r="L51" i="4" s="1"/>
  <c r="I80" i="3"/>
  <c r="I45" i="4"/>
  <c r="M27" i="5"/>
  <c r="P71" i="3"/>
  <c r="Q71" i="3" s="1"/>
  <c r="P19" i="3" s="1"/>
  <c r="P46" i="10" s="1"/>
  <c r="H26" i="5"/>
  <c r="I26" i="5" s="1"/>
  <c r="G27" i="5"/>
  <c r="M12" i="5"/>
  <c r="I74" i="3"/>
  <c r="I78" i="3"/>
  <c r="M81" i="3"/>
  <c r="J21" i="4"/>
  <c r="P12" i="5"/>
  <c r="J27" i="5"/>
  <c r="M82" i="3"/>
  <c r="L81" i="3"/>
  <c r="K74" i="3"/>
  <c r="M21" i="4"/>
  <c r="M45" i="4"/>
  <c r="M49" i="4" s="1"/>
  <c r="M51" i="4" s="1"/>
  <c r="M75" i="3"/>
  <c r="L82" i="3"/>
  <c r="K81" i="3"/>
  <c r="K82" i="3"/>
  <c r="J81" i="3"/>
  <c r="I59" i="4"/>
  <c r="K45" i="4"/>
  <c r="K49" i="4" s="1"/>
  <c r="K51" i="4" s="1"/>
  <c r="E32" i="5"/>
  <c r="K75" i="3"/>
  <c r="M78" i="3"/>
  <c r="J82" i="3"/>
  <c r="I81" i="3"/>
  <c r="J80" i="3"/>
  <c r="O21" i="4"/>
  <c r="J45" i="4"/>
  <c r="J49" i="4" s="1"/>
  <c r="J12" i="5"/>
  <c r="H32" i="5"/>
  <c r="J75" i="3"/>
  <c r="L78" i="3"/>
  <c r="I82" i="3"/>
  <c r="K78" i="3"/>
  <c r="M80" i="3"/>
  <c r="K33" i="3"/>
  <c r="J51" i="3"/>
  <c r="N51" i="3"/>
  <c r="K51" i="3"/>
  <c r="I51" i="3"/>
  <c r="J78" i="3"/>
  <c r="I22" i="3"/>
  <c r="N41" i="3"/>
  <c r="M74" i="3"/>
  <c r="L74" i="3"/>
  <c r="L51" i="3"/>
  <c r="M51" i="3"/>
  <c r="J74" i="3"/>
  <c r="H31" i="5"/>
  <c r="I31" i="5" s="1"/>
  <c r="K31" i="5" s="1"/>
  <c r="L31" i="5" s="1"/>
  <c r="N31" i="5" s="1"/>
  <c r="E37" i="5"/>
  <c r="G30" i="5"/>
  <c r="J30" i="5" s="1"/>
  <c r="M30" i="5" s="1"/>
  <c r="P30" i="5" s="1"/>
  <c r="S30" i="5" s="1"/>
  <c r="V30" i="5" s="1"/>
  <c r="D27" i="5"/>
  <c r="F11" i="5"/>
  <c r="H11" i="5" s="1"/>
  <c r="I11" i="5" s="1"/>
  <c r="D12" i="5"/>
  <c r="N21" i="4"/>
  <c r="N56" i="4"/>
  <c r="J59" i="4"/>
  <c r="K21" i="4"/>
  <c r="J56" i="4"/>
  <c r="M59" i="4"/>
  <c r="O59" i="4"/>
  <c r="O56" i="4"/>
  <c r="R55" i="4"/>
  <c r="Q61" i="4"/>
  <c r="Q20" i="4"/>
  <c r="I48" i="4"/>
  <c r="Q60" i="4"/>
  <c r="R61" i="4"/>
  <c r="R20" i="4"/>
  <c r="Q55" i="4"/>
  <c r="I50" i="4"/>
  <c r="N61" i="3"/>
  <c r="K22" i="3"/>
  <c r="I61" i="3"/>
  <c r="O15" i="4"/>
  <c r="L48" i="2"/>
  <c r="L45" i="2"/>
  <c r="L44" i="2"/>
  <c r="M44" i="2"/>
  <c r="N42" i="2"/>
  <c r="N15" i="4"/>
  <c r="M46" i="2"/>
  <c r="K15" i="4"/>
  <c r="M45" i="2"/>
  <c r="L15" i="4"/>
  <c r="M15" i="4"/>
  <c r="M48" i="2"/>
  <c r="I46" i="2"/>
  <c r="I44" i="2"/>
  <c r="I45" i="2"/>
  <c r="I48" i="2"/>
  <c r="I18" i="2"/>
  <c r="J44" i="2"/>
  <c r="J42" i="2"/>
  <c r="O42" i="2"/>
  <c r="K44" i="2"/>
  <c r="K48" i="2"/>
  <c r="K45" i="2"/>
  <c r="J48" i="2"/>
  <c r="M42" i="2"/>
  <c r="J45" i="2"/>
  <c r="L42" i="2"/>
  <c r="K42" i="2"/>
  <c r="J22" i="3"/>
  <c r="M61" i="3"/>
  <c r="O22" i="3"/>
  <c r="L22" i="3"/>
  <c r="O13" i="2"/>
  <c r="J61" i="3"/>
  <c r="K61" i="3"/>
  <c r="N22" i="3"/>
  <c r="L61" i="3"/>
  <c r="M22" i="3"/>
  <c r="O61" i="3"/>
  <c r="M18" i="2"/>
  <c r="J18" i="2"/>
  <c r="K18" i="2"/>
  <c r="N13" i="2"/>
  <c r="P9" i="2"/>
  <c r="Q9" i="2" s="1"/>
  <c r="R9" i="2" s="1"/>
  <c r="S9" i="2" s="1"/>
  <c r="L18" i="2"/>
  <c r="Q48" i="4" l="1"/>
  <c r="R48" i="4"/>
  <c r="I49" i="4"/>
  <c r="I51" i="4" s="1"/>
  <c r="G13" i="11"/>
  <c r="J31" i="8"/>
  <c r="N14" i="8"/>
  <c r="O13" i="8"/>
  <c r="E18" i="5"/>
  <c r="G44" i="5"/>
  <c r="G49" i="5" s="1"/>
  <c r="F50" i="5"/>
  <c r="AC36" i="5"/>
  <c r="AF36" i="5" s="1"/>
  <c r="AI36" i="5" s="1"/>
  <c r="Q19" i="7"/>
  <c r="R19" i="7" s="1"/>
  <c r="S19" i="7" s="1"/>
  <c r="T19" i="7" s="1"/>
  <c r="P77" i="3"/>
  <c r="N28" i="4"/>
  <c r="O68" i="10"/>
  <c r="N68" i="10"/>
  <c r="J78" i="10"/>
  <c r="M28" i="4"/>
  <c r="M68" i="10"/>
  <c r="L60" i="10"/>
  <c r="I34" i="3"/>
  <c r="I49" i="9"/>
  <c r="O78" i="10"/>
  <c r="L34" i="3"/>
  <c r="L49" i="10"/>
  <c r="L49" i="9"/>
  <c r="I28" i="4"/>
  <c r="K49" i="10"/>
  <c r="M78" i="10"/>
  <c r="M34" i="3"/>
  <c r="M49" i="10"/>
  <c r="M88" i="10"/>
  <c r="N88" i="10"/>
  <c r="L78" i="10"/>
  <c r="K78" i="10"/>
  <c r="P85" i="3"/>
  <c r="Q85" i="3" s="1"/>
  <c r="R85" i="3" s="1"/>
  <c r="S85" i="3" s="1"/>
  <c r="T85" i="3" s="1"/>
  <c r="K88" i="10"/>
  <c r="K60" i="10"/>
  <c r="O34" i="3"/>
  <c r="O49" i="9"/>
  <c r="O49" i="10"/>
  <c r="J24" i="4"/>
  <c r="J88" i="10"/>
  <c r="O88" i="10"/>
  <c r="L88" i="10"/>
  <c r="J34" i="3"/>
  <c r="J49" i="10"/>
  <c r="N34" i="3"/>
  <c r="N49" i="10"/>
  <c r="N78" i="10"/>
  <c r="J68" i="10"/>
  <c r="Q18" i="7"/>
  <c r="P25" i="10"/>
  <c r="I11" i="11"/>
  <c r="Q78" i="7"/>
  <c r="R78" i="7" s="1"/>
  <c r="S78" i="7" s="1"/>
  <c r="T78" i="7" s="1"/>
  <c r="U78" i="7" s="1"/>
  <c r="R29" i="7"/>
  <c r="S29" i="7" s="1"/>
  <c r="T29" i="7" s="1"/>
  <c r="Q32" i="7"/>
  <c r="S37" i="7"/>
  <c r="P56" i="7"/>
  <c r="P55" i="7" s="1"/>
  <c r="Q44" i="7"/>
  <c r="S76" i="7"/>
  <c r="T77" i="7"/>
  <c r="R32" i="7"/>
  <c r="N24" i="4"/>
  <c r="L24" i="4"/>
  <c r="AG51" i="5"/>
  <c r="AG49" i="5"/>
  <c r="AG50" i="5"/>
  <c r="AI10" i="5"/>
  <c r="AI15" i="5" s="1"/>
  <c r="R68" i="3"/>
  <c r="R72" i="3"/>
  <c r="S72" i="3" s="1"/>
  <c r="T72" i="3" s="1"/>
  <c r="P60" i="3"/>
  <c r="M68" i="5"/>
  <c r="M69" i="5"/>
  <c r="M62" i="3"/>
  <c r="M68" i="9" s="1"/>
  <c r="M70" i="5"/>
  <c r="M65" i="5"/>
  <c r="M72" i="5"/>
  <c r="P70" i="3"/>
  <c r="Q70" i="3" s="1"/>
  <c r="Q77" i="3"/>
  <c r="P73" i="10" s="1"/>
  <c r="M67" i="5"/>
  <c r="M71" i="5"/>
  <c r="R69" i="3"/>
  <c r="S69" i="3" s="1"/>
  <c r="T69" i="3" s="1"/>
  <c r="Q42" i="2"/>
  <c r="R42" i="2" s="1"/>
  <c r="S42" i="2" s="1"/>
  <c r="T42" i="2" s="1"/>
  <c r="H17" i="5"/>
  <c r="K11" i="5"/>
  <c r="L11" i="5" s="1"/>
  <c r="K17" i="5"/>
  <c r="K34" i="3"/>
  <c r="R79" i="3"/>
  <c r="S79" i="3" s="1"/>
  <c r="T79" i="3" s="1"/>
  <c r="P49" i="3"/>
  <c r="P76" i="10" s="1"/>
  <c r="K24" i="4"/>
  <c r="N62" i="3"/>
  <c r="N68" i="9" s="1"/>
  <c r="M24" i="4"/>
  <c r="N25" i="4"/>
  <c r="Q19" i="2"/>
  <c r="O74" i="3"/>
  <c r="V27" i="5"/>
  <c r="S27" i="5"/>
  <c r="R71" i="3"/>
  <c r="S71" i="3" s="1"/>
  <c r="T71" i="3" s="1"/>
  <c r="Q56" i="4"/>
  <c r="Q21" i="4"/>
  <c r="H37" i="5"/>
  <c r="R21" i="4"/>
  <c r="R56" i="4"/>
  <c r="O81" i="3"/>
  <c r="O78" i="3"/>
  <c r="O75" i="3"/>
  <c r="O45" i="4"/>
  <c r="O49" i="4" s="1"/>
  <c r="O51" i="4" s="1"/>
  <c r="O82" i="3"/>
  <c r="V12" i="5"/>
  <c r="J51" i="4"/>
  <c r="N74" i="3"/>
  <c r="R59" i="4"/>
  <c r="K26" i="5"/>
  <c r="L26" i="5" s="1"/>
  <c r="K32" i="5"/>
  <c r="N78" i="3"/>
  <c r="S12" i="5"/>
  <c r="N75" i="3"/>
  <c r="P75" i="3" s="1"/>
  <c r="N45" i="4"/>
  <c r="N82" i="3"/>
  <c r="N81" i="3"/>
  <c r="Q59" i="4"/>
  <c r="O80" i="3"/>
  <c r="N80" i="3"/>
  <c r="I62" i="3"/>
  <c r="I88" i="9" s="1"/>
  <c r="N16" i="5"/>
  <c r="O16" i="5" s="1"/>
  <c r="Q16" i="5" s="1"/>
  <c r="R16" i="5" s="1"/>
  <c r="T16" i="5" s="1"/>
  <c r="U16" i="5" s="1"/>
  <c r="W16" i="5" s="1"/>
  <c r="Y16" i="5" s="1"/>
  <c r="O31" i="5"/>
  <c r="Q31" i="5" s="1"/>
  <c r="H18" i="5"/>
  <c r="I36" i="5"/>
  <c r="R50" i="4"/>
  <c r="Q50" i="4"/>
  <c r="R15" i="4"/>
  <c r="Q15" i="4"/>
  <c r="R14" i="4"/>
  <c r="Q14" i="4"/>
  <c r="K25" i="4"/>
  <c r="M25" i="4"/>
  <c r="I25" i="4"/>
  <c r="I24" i="4"/>
  <c r="L25" i="4"/>
  <c r="O25" i="4"/>
  <c r="O24" i="4"/>
  <c r="J62" i="3"/>
  <c r="J78" i="9" s="1"/>
  <c r="J25" i="4"/>
  <c r="I32" i="4"/>
  <c r="I2" i="13" s="1"/>
  <c r="I22" i="2"/>
  <c r="L22" i="2"/>
  <c r="L32" i="4"/>
  <c r="I5" i="13" s="1"/>
  <c r="N18" i="2"/>
  <c r="N45" i="2"/>
  <c r="N48" i="2"/>
  <c r="N46" i="2"/>
  <c r="N44" i="2"/>
  <c r="K22" i="2"/>
  <c r="K32" i="4"/>
  <c r="I4" i="13" s="1"/>
  <c r="J22" i="2"/>
  <c r="J32" i="4"/>
  <c r="I3" i="13" s="1"/>
  <c r="O48" i="2"/>
  <c r="O44" i="2"/>
  <c r="O46" i="2"/>
  <c r="O45" i="2"/>
  <c r="M22" i="2"/>
  <c r="M24" i="2" s="1"/>
  <c r="M32" i="4"/>
  <c r="I6" i="13" s="1"/>
  <c r="O18" i="2"/>
  <c r="L62" i="3"/>
  <c r="L78" i="9" s="1"/>
  <c r="O62" i="3"/>
  <c r="O78" i="9" s="1"/>
  <c r="K62" i="3"/>
  <c r="K78" i="9" s="1"/>
  <c r="P12" i="2"/>
  <c r="Q12" i="2" s="1"/>
  <c r="R12" i="2" s="1"/>
  <c r="S12" i="2" s="1"/>
  <c r="R50" i="2"/>
  <c r="S50" i="2" s="1"/>
  <c r="T50" i="2" s="1"/>
  <c r="Q47" i="2"/>
  <c r="P20" i="2" s="1"/>
  <c r="P20" i="10" s="1"/>
  <c r="P78" i="3" l="1"/>
  <c r="Q78" i="3" s="1"/>
  <c r="P48" i="3" s="1"/>
  <c r="P75" i="10" s="1"/>
  <c r="O15" i="8"/>
  <c r="Q45" i="4"/>
  <c r="R45" i="4"/>
  <c r="R43" i="4"/>
  <c r="G47" i="5"/>
  <c r="P74" i="3"/>
  <c r="Q74" i="3" s="1"/>
  <c r="P30" i="3" s="1"/>
  <c r="P57" i="10" s="1"/>
  <c r="J49" i="9"/>
  <c r="M49" i="9"/>
  <c r="N49" i="9"/>
  <c r="K60" i="9"/>
  <c r="Q43" i="4"/>
  <c r="J88" i="9"/>
  <c r="M88" i="9"/>
  <c r="I68" i="9"/>
  <c r="J46" i="9"/>
  <c r="J56" i="9"/>
  <c r="J55" i="9"/>
  <c r="J40" i="9"/>
  <c r="J48" i="9"/>
  <c r="J44" i="9"/>
  <c r="J54" i="9"/>
  <c r="J53" i="9"/>
  <c r="J61" i="9"/>
  <c r="J58" i="9"/>
  <c r="J42" i="9"/>
  <c r="J52" i="9"/>
  <c r="J61" i="10"/>
  <c r="J41" i="9"/>
  <c r="J59" i="9"/>
  <c r="J47" i="9"/>
  <c r="J60" i="9"/>
  <c r="J57" i="9"/>
  <c r="J45" i="9"/>
  <c r="J43" i="9"/>
  <c r="J65" i="9"/>
  <c r="J67" i="9"/>
  <c r="J76" i="9"/>
  <c r="J87" i="9"/>
  <c r="J74" i="9"/>
  <c r="J85" i="9"/>
  <c r="J73" i="9"/>
  <c r="J84" i="9"/>
  <c r="J89" i="10"/>
  <c r="J83" i="9"/>
  <c r="J89" i="9"/>
  <c r="J82" i="9"/>
  <c r="J66" i="9"/>
  <c r="J86" i="9"/>
  <c r="J75" i="9"/>
  <c r="J77" i="9"/>
  <c r="J68" i="9"/>
  <c r="N78" i="9"/>
  <c r="L88" i="9"/>
  <c r="I78" i="9"/>
  <c r="I55" i="9"/>
  <c r="I44" i="9"/>
  <c r="I54" i="9"/>
  <c r="I57" i="9"/>
  <c r="I53" i="9"/>
  <c r="I61" i="9"/>
  <c r="I42" i="9"/>
  <c r="I52" i="9"/>
  <c r="I41" i="9"/>
  <c r="I59" i="9"/>
  <c r="I40" i="9"/>
  <c r="I48" i="9"/>
  <c r="I58" i="9"/>
  <c r="I47" i="9"/>
  <c r="I46" i="9"/>
  <c r="I56" i="9"/>
  <c r="I45" i="9"/>
  <c r="I43" i="9"/>
  <c r="I60" i="9"/>
  <c r="K89" i="9"/>
  <c r="K65" i="9"/>
  <c r="K83" i="9"/>
  <c r="K76" i="9"/>
  <c r="K87" i="9"/>
  <c r="K75" i="9"/>
  <c r="K74" i="9"/>
  <c r="K67" i="9"/>
  <c r="K89" i="10"/>
  <c r="K68" i="9"/>
  <c r="K86" i="9"/>
  <c r="K85" i="9"/>
  <c r="K84" i="9"/>
  <c r="K66" i="9"/>
  <c r="K82" i="9"/>
  <c r="K77" i="9"/>
  <c r="K73" i="9"/>
  <c r="O74" i="9"/>
  <c r="O85" i="9"/>
  <c r="O76" i="9"/>
  <c r="O87" i="9"/>
  <c r="O84" i="9"/>
  <c r="O89" i="10"/>
  <c r="O83" i="9"/>
  <c r="O67" i="9"/>
  <c r="O89" i="9"/>
  <c r="O65" i="9"/>
  <c r="O75" i="9"/>
  <c r="O68" i="9"/>
  <c r="O66" i="9"/>
  <c r="O86" i="9"/>
  <c r="O73" i="9"/>
  <c r="O77" i="9"/>
  <c r="O82" i="9"/>
  <c r="M89" i="10"/>
  <c r="M83" i="9"/>
  <c r="M67" i="9"/>
  <c r="M89" i="9"/>
  <c r="M65" i="9"/>
  <c r="M74" i="9"/>
  <c r="M76" i="9"/>
  <c r="M87" i="9"/>
  <c r="M75" i="9"/>
  <c r="M85" i="9"/>
  <c r="M84" i="9"/>
  <c r="M86" i="9"/>
  <c r="M77" i="9"/>
  <c r="M82" i="9"/>
  <c r="M73" i="9"/>
  <c r="M66" i="9"/>
  <c r="O53" i="9"/>
  <c r="O61" i="9"/>
  <c r="O42" i="9"/>
  <c r="O52" i="9"/>
  <c r="O61" i="10"/>
  <c r="O41" i="9"/>
  <c r="O59" i="9"/>
  <c r="O40" i="9"/>
  <c r="O48" i="9"/>
  <c r="O58" i="9"/>
  <c r="O47" i="9"/>
  <c r="O46" i="9"/>
  <c r="O56" i="9"/>
  <c r="O55" i="9"/>
  <c r="O44" i="9"/>
  <c r="O54" i="9"/>
  <c r="O45" i="9"/>
  <c r="O43" i="9"/>
  <c r="O57" i="9"/>
  <c r="O60" i="9"/>
  <c r="M61" i="10"/>
  <c r="M41" i="9"/>
  <c r="M59" i="9"/>
  <c r="M43" i="9"/>
  <c r="M53" i="9"/>
  <c r="M61" i="9"/>
  <c r="M40" i="9"/>
  <c r="M48" i="9"/>
  <c r="M58" i="9"/>
  <c r="M47" i="9"/>
  <c r="M46" i="9"/>
  <c r="M56" i="9"/>
  <c r="M55" i="9"/>
  <c r="M44" i="9"/>
  <c r="M54" i="9"/>
  <c r="M42" i="9"/>
  <c r="M52" i="9"/>
  <c r="M60" i="9"/>
  <c r="M57" i="9"/>
  <c r="M45" i="9"/>
  <c r="O88" i="9"/>
  <c r="M78" i="9"/>
  <c r="K47" i="9"/>
  <c r="K46" i="9"/>
  <c r="K56" i="9"/>
  <c r="K55" i="9"/>
  <c r="K44" i="9"/>
  <c r="K54" i="9"/>
  <c r="K53" i="9"/>
  <c r="K61" i="9"/>
  <c r="K42" i="9"/>
  <c r="K52" i="9"/>
  <c r="K41" i="9"/>
  <c r="K40" i="9"/>
  <c r="K48" i="9"/>
  <c r="K58" i="9"/>
  <c r="K61" i="10"/>
  <c r="K59" i="9"/>
  <c r="K43" i="9"/>
  <c r="K45" i="9"/>
  <c r="K57" i="9"/>
  <c r="N88" i="9"/>
  <c r="N84" i="9"/>
  <c r="N89" i="10"/>
  <c r="N83" i="9"/>
  <c r="N67" i="9"/>
  <c r="N89" i="9"/>
  <c r="N65" i="9"/>
  <c r="N86" i="9"/>
  <c r="N76" i="9"/>
  <c r="N87" i="9"/>
  <c r="N75" i="9"/>
  <c r="N74" i="9"/>
  <c r="N85" i="9"/>
  <c r="N66" i="9"/>
  <c r="N73" i="9"/>
  <c r="N82" i="9"/>
  <c r="N77" i="9"/>
  <c r="L67" i="9"/>
  <c r="L89" i="9"/>
  <c r="L65" i="9"/>
  <c r="L76" i="9"/>
  <c r="L87" i="9"/>
  <c r="L84" i="9"/>
  <c r="L75" i="9"/>
  <c r="L73" i="9"/>
  <c r="L74" i="9"/>
  <c r="L85" i="9"/>
  <c r="L89" i="10"/>
  <c r="L77" i="9"/>
  <c r="L82" i="9"/>
  <c r="L83" i="9"/>
  <c r="L66" i="9"/>
  <c r="L86" i="9"/>
  <c r="L68" i="9"/>
  <c r="I76" i="9"/>
  <c r="I87" i="9"/>
  <c r="I75" i="9"/>
  <c r="I66" i="9"/>
  <c r="I74" i="9"/>
  <c r="I84" i="9"/>
  <c r="I83" i="9"/>
  <c r="I67" i="9"/>
  <c r="I65" i="9"/>
  <c r="I89" i="9"/>
  <c r="I73" i="9"/>
  <c r="I85" i="9"/>
  <c r="I77" i="9"/>
  <c r="I82" i="9"/>
  <c r="I86" i="9"/>
  <c r="Q60" i="3"/>
  <c r="P87" i="10"/>
  <c r="N42" i="9"/>
  <c r="N52" i="9"/>
  <c r="N61" i="10"/>
  <c r="N41" i="9"/>
  <c r="N59" i="9"/>
  <c r="N40" i="9"/>
  <c r="N48" i="9"/>
  <c r="N58" i="9"/>
  <c r="N47" i="9"/>
  <c r="N46" i="9"/>
  <c r="N56" i="9"/>
  <c r="N44" i="9"/>
  <c r="N54" i="9"/>
  <c r="N55" i="9"/>
  <c r="N53" i="9"/>
  <c r="N61" i="9"/>
  <c r="N43" i="9"/>
  <c r="N45" i="9"/>
  <c r="N57" i="9"/>
  <c r="N60" i="9"/>
  <c r="K88" i="9"/>
  <c r="K49" i="9"/>
  <c r="L40" i="9"/>
  <c r="L48" i="9"/>
  <c r="L58" i="9"/>
  <c r="L47" i="9"/>
  <c r="L46" i="9"/>
  <c r="L56" i="9"/>
  <c r="L55" i="9"/>
  <c r="L42" i="9"/>
  <c r="L44" i="9"/>
  <c r="L54" i="9"/>
  <c r="L60" i="9"/>
  <c r="L53" i="9"/>
  <c r="L61" i="9"/>
  <c r="L61" i="10"/>
  <c r="L41" i="9"/>
  <c r="L59" i="9"/>
  <c r="L52" i="9"/>
  <c r="L43" i="9"/>
  <c r="L57" i="9"/>
  <c r="L45" i="9"/>
  <c r="R19" i="2"/>
  <c r="H12" i="8"/>
  <c r="H12" i="11" s="1"/>
  <c r="H13" i="11" s="1"/>
  <c r="Q17" i="3"/>
  <c r="T37" i="7"/>
  <c r="U77" i="7"/>
  <c r="S32" i="7"/>
  <c r="T76" i="7"/>
  <c r="R70" i="3"/>
  <c r="S70" i="3" s="1"/>
  <c r="T70" i="3" s="1"/>
  <c r="P18" i="3"/>
  <c r="M64" i="5"/>
  <c r="M59" i="5" s="1"/>
  <c r="X27" i="5"/>
  <c r="AG52" i="5"/>
  <c r="M73" i="5"/>
  <c r="S68" i="3"/>
  <c r="P57" i="3"/>
  <c r="P84" i="10" s="1"/>
  <c r="Q20" i="3"/>
  <c r="R77" i="3"/>
  <c r="S77" i="3" s="1"/>
  <c r="T77" i="3" s="1"/>
  <c r="H44" i="5"/>
  <c r="H47" i="5" s="1"/>
  <c r="H50" i="5" s="1"/>
  <c r="K18" i="5"/>
  <c r="N11" i="5"/>
  <c r="N17" i="5"/>
  <c r="Q49" i="3"/>
  <c r="P48" i="2"/>
  <c r="Q48" i="2" s="1"/>
  <c r="R48" i="2" s="1"/>
  <c r="S48" i="2" s="1"/>
  <c r="T48" i="2" s="1"/>
  <c r="Q45" i="2"/>
  <c r="R45" i="2" s="1"/>
  <c r="S45" i="2" s="1"/>
  <c r="T45" i="2" s="1"/>
  <c r="Q19" i="3"/>
  <c r="P80" i="3"/>
  <c r="Q80" i="3" s="1"/>
  <c r="R80" i="3" s="1"/>
  <c r="S80" i="3" s="1"/>
  <c r="T80" i="3" s="1"/>
  <c r="P81" i="3"/>
  <c r="Q81" i="3" s="1"/>
  <c r="P58" i="3" s="1"/>
  <c r="P85" i="10" s="1"/>
  <c r="P82" i="3"/>
  <c r="Q82" i="3" s="1"/>
  <c r="R82" i="3" s="1"/>
  <c r="S82" i="3" s="1"/>
  <c r="T82" i="3" s="1"/>
  <c r="Q75" i="3"/>
  <c r="P31" i="3" s="1"/>
  <c r="P58" i="10" s="1"/>
  <c r="X12" i="5"/>
  <c r="N26" i="5"/>
  <c r="O26" i="5" s="1"/>
  <c r="N32" i="5"/>
  <c r="N49" i="4"/>
  <c r="Q49" i="4" s="1"/>
  <c r="R28" i="4"/>
  <c r="Q28" i="4"/>
  <c r="K36" i="5"/>
  <c r="K37" i="5" s="1"/>
  <c r="R31" i="5"/>
  <c r="T31" i="5" s="1"/>
  <c r="R24" i="4"/>
  <c r="Q24" i="4"/>
  <c r="R25" i="4"/>
  <c r="Q25" i="4"/>
  <c r="Q46" i="2"/>
  <c r="R46" i="2" s="1"/>
  <c r="Q44" i="2"/>
  <c r="R44" i="2" s="1"/>
  <c r="S44" i="2" s="1"/>
  <c r="T44" i="2" s="1"/>
  <c r="M28" i="2"/>
  <c r="M34" i="4"/>
  <c r="M29" i="4"/>
  <c r="K24" i="2"/>
  <c r="K16" i="4"/>
  <c r="K33" i="4"/>
  <c r="J4" i="13" s="1"/>
  <c r="N22" i="2"/>
  <c r="N32" i="4"/>
  <c r="I7" i="13" s="1"/>
  <c r="O22" i="2"/>
  <c r="O32" i="4"/>
  <c r="I8" i="13" s="1"/>
  <c r="L24" i="2"/>
  <c r="L33" i="4"/>
  <c r="J5" i="13" s="1"/>
  <c r="L16" i="4"/>
  <c r="M33" i="4"/>
  <c r="J6" i="13" s="1"/>
  <c r="M16" i="4"/>
  <c r="I33" i="4"/>
  <c r="J2" i="13" s="1"/>
  <c r="I24" i="2"/>
  <c r="J24" i="2"/>
  <c r="J16" i="4"/>
  <c r="J33" i="4"/>
  <c r="J3" i="13" s="1"/>
  <c r="Q25" i="2"/>
  <c r="Q25" i="10" s="1"/>
  <c r="P11" i="2"/>
  <c r="R47" i="2"/>
  <c r="Q20" i="2" s="1"/>
  <c r="Q20" i="10" s="1"/>
  <c r="M60" i="5" l="1"/>
  <c r="M58" i="5"/>
  <c r="P27" i="2"/>
  <c r="M61" i="5"/>
  <c r="N64" i="5"/>
  <c r="N61" i="5" s="1"/>
  <c r="M62" i="5"/>
  <c r="G51" i="5"/>
  <c r="G50" i="5"/>
  <c r="Q17" i="7"/>
  <c r="P27" i="10"/>
  <c r="R60" i="3"/>
  <c r="Q87" i="10"/>
  <c r="R49" i="3"/>
  <c r="Q76" i="10"/>
  <c r="Q18" i="3"/>
  <c r="P45" i="10"/>
  <c r="R20" i="3"/>
  <c r="Q47" i="10"/>
  <c r="R17" i="3"/>
  <c r="Q44" i="10"/>
  <c r="R19" i="3"/>
  <c r="Q46" i="10"/>
  <c r="P11" i="10"/>
  <c r="S19" i="2"/>
  <c r="J12" i="8" s="1"/>
  <c r="J12" i="11" s="1"/>
  <c r="J13" i="11" s="1"/>
  <c r="I12" i="8"/>
  <c r="I12" i="11" s="1"/>
  <c r="I13" i="11" s="1"/>
  <c r="M31" i="2"/>
  <c r="N13" i="7"/>
  <c r="N20" i="7" s="1"/>
  <c r="R25" i="2"/>
  <c r="R25" i="10" s="1"/>
  <c r="R18" i="7"/>
  <c r="U76" i="7"/>
  <c r="R74" i="3"/>
  <c r="S74" i="3" s="1"/>
  <c r="T74" i="3" s="1"/>
  <c r="M63" i="5"/>
  <c r="R73" i="3"/>
  <c r="T68" i="3"/>
  <c r="Q46" i="3"/>
  <c r="N59" i="5"/>
  <c r="I44" i="5"/>
  <c r="H51" i="5"/>
  <c r="H49" i="5"/>
  <c r="R81" i="3"/>
  <c r="S81" i="3" s="1"/>
  <c r="T81" i="3" s="1"/>
  <c r="O11" i="5"/>
  <c r="N18" i="5"/>
  <c r="M51" i="2"/>
  <c r="P50" i="3"/>
  <c r="P59" i="3"/>
  <c r="R78" i="3"/>
  <c r="S78" i="3" s="1"/>
  <c r="T78" i="3" s="1"/>
  <c r="R75" i="3"/>
  <c r="S75" i="3" s="1"/>
  <c r="T75" i="3" s="1"/>
  <c r="N51" i="4"/>
  <c r="Q51" i="4" s="1"/>
  <c r="R49" i="4"/>
  <c r="Q26" i="5"/>
  <c r="R26" i="5" s="1"/>
  <c r="T32" i="5" s="1"/>
  <c r="Q32" i="5"/>
  <c r="M57" i="4"/>
  <c r="M58" i="4" s="1"/>
  <c r="L36" i="5"/>
  <c r="N36" i="5" s="1"/>
  <c r="N37" i="5" s="1"/>
  <c r="U31" i="5"/>
  <c r="W31" i="5" s="1"/>
  <c r="Q32" i="4"/>
  <c r="R32" i="4"/>
  <c r="M35" i="4"/>
  <c r="M36" i="4"/>
  <c r="K6" i="13" s="1"/>
  <c r="K28" i="2"/>
  <c r="K34" i="4"/>
  <c r="K29" i="4"/>
  <c r="K17" i="4"/>
  <c r="L28" i="2"/>
  <c r="L34" i="4"/>
  <c r="L29" i="4"/>
  <c r="L17" i="4"/>
  <c r="J28" i="2"/>
  <c r="K13" i="7" s="1"/>
  <c r="K20" i="7" s="1"/>
  <c r="J29" i="4"/>
  <c r="J17" i="4"/>
  <c r="J34" i="4"/>
  <c r="M17" i="4"/>
  <c r="I29" i="4"/>
  <c r="I28" i="2"/>
  <c r="I34" i="4"/>
  <c r="O33" i="4"/>
  <c r="J8" i="13" s="1"/>
  <c r="O16" i="4"/>
  <c r="O24" i="2"/>
  <c r="N24" i="2"/>
  <c r="N33" i="4"/>
  <c r="J7" i="13" s="1"/>
  <c r="N16" i="4"/>
  <c r="Q11" i="2"/>
  <c r="S46" i="2"/>
  <c r="T46" i="2" s="1"/>
  <c r="P13" i="2"/>
  <c r="S47" i="2"/>
  <c r="R20" i="2" s="1"/>
  <c r="R20" i="10" s="1"/>
  <c r="N62" i="5" l="1"/>
  <c r="O64" i="5"/>
  <c r="O61" i="5" s="1"/>
  <c r="Q27" i="2"/>
  <c r="N60" i="5"/>
  <c r="N58" i="5"/>
  <c r="N63" i="5"/>
  <c r="Q39" i="7"/>
  <c r="Q42" i="7" s="1"/>
  <c r="R17" i="7"/>
  <c r="Q27" i="10"/>
  <c r="S20" i="3"/>
  <c r="S47" i="10" s="1"/>
  <c r="R47" i="10"/>
  <c r="R18" i="3"/>
  <c r="Q45" i="10"/>
  <c r="Q57" i="3"/>
  <c r="Q84" i="10" s="1"/>
  <c r="Q73" i="10"/>
  <c r="S49" i="3"/>
  <c r="S76" i="10" s="1"/>
  <c r="R76" i="10"/>
  <c r="Q59" i="3"/>
  <c r="P86" i="10"/>
  <c r="Q50" i="3"/>
  <c r="P77" i="10"/>
  <c r="S60" i="3"/>
  <c r="S87" i="10" s="1"/>
  <c r="R87" i="10"/>
  <c r="S17" i="3"/>
  <c r="S44" i="10" s="1"/>
  <c r="R44" i="10"/>
  <c r="S19" i="3"/>
  <c r="S46" i="10" s="1"/>
  <c r="R46" i="10"/>
  <c r="Z26" i="5"/>
  <c r="P19" i="9"/>
  <c r="P27" i="9"/>
  <c r="P26" i="9"/>
  <c r="P30" i="9"/>
  <c r="P25" i="9"/>
  <c r="P13" i="10"/>
  <c r="P12" i="9"/>
  <c r="P20" i="9"/>
  <c r="P13" i="9"/>
  <c r="R11" i="2"/>
  <c r="Q11" i="10"/>
  <c r="P11" i="9"/>
  <c r="T32" i="7"/>
  <c r="M52" i="2"/>
  <c r="Q30" i="3"/>
  <c r="L31" i="2"/>
  <c r="M13" i="7"/>
  <c r="M20" i="7" s="1"/>
  <c r="K31" i="2"/>
  <c r="L13" i="7"/>
  <c r="L20" i="7" s="1"/>
  <c r="L73" i="7" s="1"/>
  <c r="Z11" i="5"/>
  <c r="S25" i="2"/>
  <c r="S18" i="7"/>
  <c r="O73" i="7"/>
  <c r="I31" i="2"/>
  <c r="J13" i="7"/>
  <c r="J20" i="7" s="1"/>
  <c r="K73" i="7" s="1"/>
  <c r="S73" i="3"/>
  <c r="T73" i="3" s="1"/>
  <c r="Q21" i="3"/>
  <c r="O63" i="5"/>
  <c r="O58" i="5"/>
  <c r="R27" i="2"/>
  <c r="R46" i="3"/>
  <c r="R73" i="10" s="1"/>
  <c r="O60" i="5"/>
  <c r="O59" i="5"/>
  <c r="P64" i="5"/>
  <c r="P58" i="5" s="1"/>
  <c r="O62" i="5"/>
  <c r="I47" i="5"/>
  <c r="I50" i="5" s="1"/>
  <c r="I49" i="5"/>
  <c r="Q58" i="3"/>
  <c r="Q11" i="5"/>
  <c r="Q17" i="5"/>
  <c r="Q48" i="3"/>
  <c r="Q33" i="4"/>
  <c r="Q31" i="3"/>
  <c r="L57" i="4"/>
  <c r="L58" i="4" s="1"/>
  <c r="R51" i="4"/>
  <c r="P21" i="2"/>
  <c r="T26" i="5"/>
  <c r="U26" i="5" s="1"/>
  <c r="P27" i="3"/>
  <c r="S45" i="4" s="1"/>
  <c r="S49" i="4" s="1"/>
  <c r="O36" i="5"/>
  <c r="Q36" i="5" s="1"/>
  <c r="Q37" i="5" s="1"/>
  <c r="R16" i="4"/>
  <c r="R33" i="4"/>
  <c r="Q16" i="4"/>
  <c r="J18" i="4"/>
  <c r="J31" i="2"/>
  <c r="K18" i="4"/>
  <c r="L18" i="4"/>
  <c r="M18" i="4"/>
  <c r="L35" i="4"/>
  <c r="L51" i="2"/>
  <c r="J35" i="4"/>
  <c r="J51" i="2"/>
  <c r="I51" i="2"/>
  <c r="I35" i="4"/>
  <c r="K35" i="4"/>
  <c r="K51" i="2"/>
  <c r="N28" i="2"/>
  <c r="O13" i="7" s="1"/>
  <c r="O21" i="7" s="1"/>
  <c r="O22" i="7" s="1"/>
  <c r="N29" i="4"/>
  <c r="N17" i="4"/>
  <c r="N34" i="4"/>
  <c r="O28" i="2"/>
  <c r="O34" i="4"/>
  <c r="O29" i="4"/>
  <c r="O17" i="4"/>
  <c r="Q13" i="2"/>
  <c r="P15" i="2"/>
  <c r="P14" i="2"/>
  <c r="P16" i="2"/>
  <c r="T47" i="2"/>
  <c r="S20" i="2" s="1"/>
  <c r="S20" i="10" s="1"/>
  <c r="R39" i="7" l="1"/>
  <c r="R42" i="7" s="1"/>
  <c r="S39" i="7"/>
  <c r="S42" i="7" s="1"/>
  <c r="S17" i="7"/>
  <c r="R27" i="10"/>
  <c r="R50" i="3"/>
  <c r="Q77" i="10"/>
  <c r="S18" i="3"/>
  <c r="S45" i="10" s="1"/>
  <c r="R45" i="10"/>
  <c r="R21" i="3"/>
  <c r="Q48" i="10"/>
  <c r="R48" i="3"/>
  <c r="Q75" i="10"/>
  <c r="R30" i="3"/>
  <c r="Q57" i="10"/>
  <c r="R31" i="3"/>
  <c r="Q58" i="10"/>
  <c r="R58" i="3"/>
  <c r="Q85" i="10"/>
  <c r="R59" i="3"/>
  <c r="Q86" i="10"/>
  <c r="T18" i="7"/>
  <c r="S25" i="10"/>
  <c r="P16" i="9"/>
  <c r="P16" i="10"/>
  <c r="P14" i="9"/>
  <c r="P14" i="10"/>
  <c r="P15" i="10"/>
  <c r="P15" i="9"/>
  <c r="Q13" i="9"/>
  <c r="Q19" i="9"/>
  <c r="Q27" i="9"/>
  <c r="Q30" i="9"/>
  <c r="Q25" i="9"/>
  <c r="Q13" i="10"/>
  <c r="Q12" i="9"/>
  <c r="Q20" i="9"/>
  <c r="Q26" i="9"/>
  <c r="Q11" i="9"/>
  <c r="P54" i="10"/>
  <c r="R11" i="10"/>
  <c r="R13" i="2"/>
  <c r="R14" i="2" s="1"/>
  <c r="S11" i="2"/>
  <c r="P21" i="10"/>
  <c r="P21" i="9"/>
  <c r="K52" i="2"/>
  <c r="I52" i="2"/>
  <c r="L52" i="2"/>
  <c r="I36" i="4"/>
  <c r="K2" i="13" s="1"/>
  <c r="G17" i="8"/>
  <c r="G16" i="11" s="1"/>
  <c r="Q28" i="7"/>
  <c r="M73" i="7"/>
  <c r="Q73" i="7" s="1"/>
  <c r="O31" i="2"/>
  <c r="O52" i="2" s="1"/>
  <c r="P13" i="7"/>
  <c r="P21" i="7" s="1"/>
  <c r="P22" i="7" s="1"/>
  <c r="K57" i="4"/>
  <c r="K58" i="4" s="1"/>
  <c r="AC26" i="5"/>
  <c r="AC11" i="5"/>
  <c r="O75" i="7"/>
  <c r="N73" i="7"/>
  <c r="P61" i="5"/>
  <c r="P60" i="5"/>
  <c r="P62" i="5"/>
  <c r="S27" i="2"/>
  <c r="S46" i="3"/>
  <c r="R57" i="3"/>
  <c r="R84" i="10" s="1"/>
  <c r="P63" i="5"/>
  <c r="P59" i="5"/>
  <c r="T39" i="7" s="1"/>
  <c r="T42" i="7" s="1"/>
  <c r="J44" i="5"/>
  <c r="I51" i="5"/>
  <c r="Q18" i="5"/>
  <c r="R11" i="5"/>
  <c r="R36" i="5"/>
  <c r="T36" i="5" s="1"/>
  <c r="T37" i="5" s="1"/>
  <c r="W26" i="5"/>
  <c r="Y26" i="5" s="1"/>
  <c r="AA26" i="5" s="1"/>
  <c r="AB26" i="5" s="1"/>
  <c r="W32" i="5"/>
  <c r="I57" i="4"/>
  <c r="I58" i="4" s="1"/>
  <c r="Q15" i="2"/>
  <c r="Q27" i="3"/>
  <c r="T45" i="4" s="1"/>
  <c r="T49" i="4" s="1"/>
  <c r="O57" i="4"/>
  <c r="O58" i="4" s="1"/>
  <c r="P55" i="3"/>
  <c r="S46" i="4" s="1"/>
  <c r="S50" i="4" s="1"/>
  <c r="J52" i="2"/>
  <c r="J57" i="4"/>
  <c r="J58" i="4" s="1"/>
  <c r="R17" i="4"/>
  <c r="Q29" i="4"/>
  <c r="R29" i="4"/>
  <c r="Q17" i="4"/>
  <c r="R34" i="4"/>
  <c r="Q34" i="4"/>
  <c r="N18" i="4"/>
  <c r="N31" i="2"/>
  <c r="O18" i="4"/>
  <c r="N35" i="4"/>
  <c r="N51" i="2"/>
  <c r="J19" i="4"/>
  <c r="J36" i="4"/>
  <c r="K3" i="13" s="1"/>
  <c r="O35" i="4"/>
  <c r="O51" i="2"/>
  <c r="P51" i="2" s="1"/>
  <c r="K36" i="4"/>
  <c r="K4" i="13" s="1"/>
  <c r="K19" i="4"/>
  <c r="L19" i="4"/>
  <c r="L36" i="4"/>
  <c r="K5" i="13" s="1"/>
  <c r="M19" i="4"/>
  <c r="Q21" i="2"/>
  <c r="Q14" i="2"/>
  <c r="Q16" i="2"/>
  <c r="P17" i="2"/>
  <c r="R73" i="7" l="1"/>
  <c r="S73" i="7" s="1"/>
  <c r="T73" i="7" s="1"/>
  <c r="U73" i="7" s="1"/>
  <c r="R21" i="2"/>
  <c r="R15" i="2"/>
  <c r="R15" i="10" s="1"/>
  <c r="AF11" i="5"/>
  <c r="T17" i="7"/>
  <c r="S27" i="10"/>
  <c r="S48" i="3"/>
  <c r="S75" i="10" s="1"/>
  <c r="R75" i="10"/>
  <c r="S59" i="3"/>
  <c r="S86" i="10" s="1"/>
  <c r="R86" i="10"/>
  <c r="S58" i="3"/>
  <c r="S85" i="10" s="1"/>
  <c r="R85" i="10"/>
  <c r="S21" i="3"/>
  <c r="S48" i="10" s="1"/>
  <c r="R48" i="10"/>
  <c r="S31" i="3"/>
  <c r="S58" i="10" s="1"/>
  <c r="R58" i="10"/>
  <c r="S57" i="3"/>
  <c r="S84" i="10" s="1"/>
  <c r="S73" i="10"/>
  <c r="R57" i="10"/>
  <c r="S30" i="3"/>
  <c r="S57" i="10" s="1"/>
  <c r="S50" i="3"/>
  <c r="S77" i="10" s="1"/>
  <c r="R77" i="10"/>
  <c r="Q54" i="10"/>
  <c r="Q14" i="9"/>
  <c r="Q14" i="10"/>
  <c r="R21" i="9"/>
  <c r="R21" i="10"/>
  <c r="Q15" i="10"/>
  <c r="Q15" i="9"/>
  <c r="S13" i="2"/>
  <c r="S27" i="3" s="1"/>
  <c r="V45" i="4" s="1"/>
  <c r="V49" i="4" s="1"/>
  <c r="S11" i="10"/>
  <c r="S11" i="9"/>
  <c r="R14" i="10"/>
  <c r="R14" i="9"/>
  <c r="R26" i="9"/>
  <c r="R13" i="9"/>
  <c r="R20" i="9"/>
  <c r="R19" i="9"/>
  <c r="R27" i="9"/>
  <c r="R13" i="10"/>
  <c r="R12" i="9"/>
  <c r="R30" i="9"/>
  <c r="R25" i="9"/>
  <c r="P17" i="9"/>
  <c r="P17" i="10"/>
  <c r="R16" i="2"/>
  <c r="R11" i="9"/>
  <c r="Q16" i="9"/>
  <c r="Q16" i="10"/>
  <c r="P82" i="10"/>
  <c r="Q21" i="9"/>
  <c r="Q21" i="10"/>
  <c r="R27" i="3"/>
  <c r="U45" i="4" s="1"/>
  <c r="U49" i="4" s="1"/>
  <c r="AF26" i="5"/>
  <c r="R28" i="7"/>
  <c r="H17" i="8" s="1"/>
  <c r="H16" i="11" s="1"/>
  <c r="AD26" i="5"/>
  <c r="AE26" i="5" s="1"/>
  <c r="P75" i="7"/>
  <c r="Q75" i="7" s="1"/>
  <c r="Q22" i="7" s="1"/>
  <c r="J47" i="5"/>
  <c r="J50" i="5" s="1"/>
  <c r="J49" i="5"/>
  <c r="T11" i="5"/>
  <c r="T17" i="5"/>
  <c r="X32" i="5"/>
  <c r="U36" i="5"/>
  <c r="W36" i="5" s="1"/>
  <c r="N52" i="2"/>
  <c r="Q55" i="3"/>
  <c r="T46" i="4" s="1"/>
  <c r="T50" i="4" s="1"/>
  <c r="P18" i="2"/>
  <c r="P25" i="3"/>
  <c r="S44" i="4" s="1"/>
  <c r="S48" i="4" s="1"/>
  <c r="S51" i="4" s="1"/>
  <c r="P52" i="2"/>
  <c r="Q52" i="2" s="1"/>
  <c r="R52" i="2" s="1"/>
  <c r="S52" i="2" s="1"/>
  <c r="T52" i="2" s="1"/>
  <c r="R55" i="3"/>
  <c r="U46" i="4" s="1"/>
  <c r="U50" i="4" s="1"/>
  <c r="R18" i="4"/>
  <c r="Q35" i="4"/>
  <c r="R35" i="4"/>
  <c r="Q18" i="4"/>
  <c r="Q51" i="2"/>
  <c r="O19" i="4"/>
  <c r="O36" i="4"/>
  <c r="K8" i="13" s="1"/>
  <c r="N19" i="4"/>
  <c r="N36" i="4"/>
  <c r="K7" i="13" s="1"/>
  <c r="Q17" i="2"/>
  <c r="Q20" i="7" l="1"/>
  <c r="R20" i="7" s="1"/>
  <c r="S20" i="7" s="1"/>
  <c r="T20" i="7" s="1"/>
  <c r="S28" i="7"/>
  <c r="I17" i="8" s="1"/>
  <c r="I16" i="11" s="1"/>
  <c r="R15" i="9"/>
  <c r="Q17" i="9"/>
  <c r="Q17" i="10"/>
  <c r="R82" i="10"/>
  <c r="R54" i="10"/>
  <c r="R16" i="9"/>
  <c r="R16" i="10"/>
  <c r="S26" i="9"/>
  <c r="S25" i="9"/>
  <c r="S13" i="9"/>
  <c r="S19" i="9"/>
  <c r="S27" i="9"/>
  <c r="S30" i="9"/>
  <c r="S13" i="10"/>
  <c r="S20" i="9"/>
  <c r="S12" i="9"/>
  <c r="S14" i="2"/>
  <c r="AI26" i="5"/>
  <c r="S16" i="2"/>
  <c r="S21" i="2"/>
  <c r="AI11" i="5"/>
  <c r="S15" i="2"/>
  <c r="Q82" i="10"/>
  <c r="P52" i="10"/>
  <c r="R17" i="2"/>
  <c r="R18" i="2" s="1"/>
  <c r="P22" i="2"/>
  <c r="P18" i="10"/>
  <c r="P18" i="9"/>
  <c r="S22" i="7"/>
  <c r="R22" i="7"/>
  <c r="R75" i="7"/>
  <c r="S75" i="7" s="1"/>
  <c r="T75" i="7" s="1"/>
  <c r="U75" i="7" s="1"/>
  <c r="T22" i="7"/>
  <c r="Z31" i="5"/>
  <c r="AG46" i="5" s="1"/>
  <c r="W37" i="5"/>
  <c r="Y36" i="5"/>
  <c r="AG26" i="5"/>
  <c r="K44" i="5"/>
  <c r="J51" i="5"/>
  <c r="U11" i="5"/>
  <c r="W17" i="5" s="1"/>
  <c r="X17" i="5" s="1"/>
  <c r="T18" i="5"/>
  <c r="Q18" i="2"/>
  <c r="Q25" i="3"/>
  <c r="T44" i="4" s="1"/>
  <c r="T48" i="4" s="1"/>
  <c r="T51" i="4" s="1"/>
  <c r="N57" i="4"/>
  <c r="Q53" i="2"/>
  <c r="R53" i="2" s="1"/>
  <c r="S53" i="2" s="1"/>
  <c r="T53" i="2" s="1"/>
  <c r="R19" i="4"/>
  <c r="Q36" i="4"/>
  <c r="R36" i="4"/>
  <c r="Q19" i="4"/>
  <c r="R51" i="2"/>
  <c r="S51" i="2" s="1"/>
  <c r="T51" i="2" s="1"/>
  <c r="T28" i="7" l="1"/>
  <c r="J17" i="8" s="1"/>
  <c r="J16" i="11" s="1"/>
  <c r="R25" i="3"/>
  <c r="R37" i="4"/>
  <c r="P22" i="9"/>
  <c r="P22" i="10"/>
  <c r="S21" i="9"/>
  <c r="S21" i="10"/>
  <c r="R17" i="10"/>
  <c r="R17" i="9"/>
  <c r="S16" i="9"/>
  <c r="S16" i="10"/>
  <c r="S54" i="10"/>
  <c r="Q52" i="10"/>
  <c r="Q22" i="2"/>
  <c r="Q18" i="10"/>
  <c r="Q18" i="9"/>
  <c r="S15" i="9"/>
  <c r="S15" i="10"/>
  <c r="R22" i="2"/>
  <c r="R18" i="10"/>
  <c r="R18" i="9"/>
  <c r="S14" i="10"/>
  <c r="S14" i="9"/>
  <c r="S17" i="2"/>
  <c r="S55" i="3"/>
  <c r="V46" i="4" s="1"/>
  <c r="V50" i="4" s="1"/>
  <c r="R42" i="4"/>
  <c r="Q37" i="4"/>
  <c r="AA31" i="5"/>
  <c r="AB31" i="5" s="1"/>
  <c r="AA36" i="5"/>
  <c r="AB36" i="5" s="1"/>
  <c r="AD36" i="5" s="1"/>
  <c r="AE36" i="5" s="1"/>
  <c r="AH26" i="5"/>
  <c r="K47" i="5"/>
  <c r="K50" i="5" s="1"/>
  <c r="K49" i="5"/>
  <c r="W11" i="5"/>
  <c r="N58" i="4"/>
  <c r="Q58" i="4" s="1"/>
  <c r="R57" i="4"/>
  <c r="Q57" i="4"/>
  <c r="R52" i="10" l="1"/>
  <c r="U44" i="4"/>
  <c r="U48" i="4" s="1"/>
  <c r="U51" i="4" s="1"/>
  <c r="Q22" i="9"/>
  <c r="Q22" i="10"/>
  <c r="R22" i="10"/>
  <c r="R22" i="9"/>
  <c r="S82" i="10"/>
  <c r="S17" i="9"/>
  <c r="S17" i="10"/>
  <c r="S25" i="3"/>
  <c r="V44" i="4" s="1"/>
  <c r="V48" i="4" s="1"/>
  <c r="V51" i="4" s="1"/>
  <c r="S18" i="2"/>
  <c r="AA37" i="5"/>
  <c r="P16" i="3" s="1"/>
  <c r="AC31" i="5"/>
  <c r="AG36" i="5"/>
  <c r="AH36" i="5" s="1"/>
  <c r="AJ36" i="5" s="1"/>
  <c r="Y11" i="5"/>
  <c r="W18" i="5"/>
  <c r="AJ26" i="5"/>
  <c r="L44" i="5"/>
  <c r="K51" i="5"/>
  <c r="R58" i="4"/>
  <c r="AA11" i="5" l="1"/>
  <c r="AB11" i="5" s="1"/>
  <c r="Z16" i="5"/>
  <c r="P43" i="10"/>
  <c r="S22" i="2"/>
  <c r="S18" i="10"/>
  <c r="S18" i="9"/>
  <c r="S52" i="10"/>
  <c r="AD31" i="5"/>
  <c r="AE31" i="5" s="1"/>
  <c r="AH46" i="5"/>
  <c r="L47" i="5"/>
  <c r="L49" i="5"/>
  <c r="M49" i="5" s="1"/>
  <c r="L50" i="5" l="1"/>
  <c r="M50" i="5" s="1"/>
  <c r="M44" i="5"/>
  <c r="S22" i="10"/>
  <c r="S22" i="9"/>
  <c r="AD37" i="5"/>
  <c r="Q16" i="3" s="1"/>
  <c r="AF31" i="5"/>
  <c r="AG44" i="5"/>
  <c r="AA16" i="5"/>
  <c r="AA18" i="5" s="1"/>
  <c r="AD11" i="5"/>
  <c r="L51" i="5"/>
  <c r="M51" i="5" s="1"/>
  <c r="M47" i="5" s="1"/>
  <c r="M46" i="5" l="1"/>
  <c r="AG45" i="5" s="1"/>
  <c r="AG47" i="5" s="1"/>
  <c r="N47" i="5"/>
  <c r="N46" i="5" s="1"/>
  <c r="Q43" i="10"/>
  <c r="AG31" i="5"/>
  <c r="AH31" i="5" s="1"/>
  <c r="AI31" i="5" s="1"/>
  <c r="AJ46" i="5" s="1"/>
  <c r="AI46" i="5"/>
  <c r="P14" i="3"/>
  <c r="P41" i="10" s="1"/>
  <c r="AE11" i="5"/>
  <c r="AB16" i="5"/>
  <c r="P13" i="3"/>
  <c r="N44" i="5"/>
  <c r="Q14" i="3" l="1"/>
  <c r="Q41" i="10"/>
  <c r="P40" i="10"/>
  <c r="P23" i="2"/>
  <c r="P24" i="2" s="1"/>
  <c r="G15" i="8"/>
  <c r="AG37" i="5"/>
  <c r="R16" i="3" s="1"/>
  <c r="P15" i="3"/>
  <c r="AJ31" i="5"/>
  <c r="AJ37" i="5" s="1"/>
  <c r="S16" i="3" s="1"/>
  <c r="AC16" i="5"/>
  <c r="AH44" i="5" s="1"/>
  <c r="AG11" i="5"/>
  <c r="AH11" i="5" s="1"/>
  <c r="M45" i="5"/>
  <c r="O47" i="5"/>
  <c r="O44" i="5"/>
  <c r="S17" i="4" l="1"/>
  <c r="S34" i="4"/>
  <c r="S29" i="4"/>
  <c r="G14" i="11"/>
  <c r="R14" i="3"/>
  <c r="R41" i="10" s="1"/>
  <c r="O46" i="5"/>
  <c r="Q16" i="7"/>
  <c r="R43" i="10"/>
  <c r="P22" i="3"/>
  <c r="P42" i="10"/>
  <c r="P24" i="9"/>
  <c r="P24" i="10"/>
  <c r="P23" i="10"/>
  <c r="P23" i="9"/>
  <c r="S43" i="10"/>
  <c r="P28" i="2"/>
  <c r="G11" i="8"/>
  <c r="G13" i="8" s="1"/>
  <c r="G14" i="8" s="1"/>
  <c r="AJ11" i="5"/>
  <c r="N45" i="5"/>
  <c r="AH45" i="5"/>
  <c r="AH47" i="5" s="1"/>
  <c r="AD16" i="5"/>
  <c r="P47" i="5"/>
  <c r="P44" i="5"/>
  <c r="S18" i="4" l="1"/>
  <c r="S35" i="4"/>
  <c r="S14" i="3"/>
  <c r="S41" i="10" s="1"/>
  <c r="P46" i="5"/>
  <c r="P29" i="2"/>
  <c r="P31" i="2" s="1"/>
  <c r="P28" i="10"/>
  <c r="P28" i="9"/>
  <c r="P49" i="10"/>
  <c r="Q13" i="7"/>
  <c r="Q21" i="7" s="1"/>
  <c r="Q23" i="7" s="1"/>
  <c r="Q23" i="2"/>
  <c r="H15" i="8"/>
  <c r="AE16" i="5"/>
  <c r="AD18" i="5"/>
  <c r="Q13" i="3" s="1"/>
  <c r="O45" i="5"/>
  <c r="AI45" i="5"/>
  <c r="S19" i="4" l="1"/>
  <c r="E9" i="13"/>
  <c r="S36" i="4"/>
  <c r="K9" i="13" s="1"/>
  <c r="H14" i="11"/>
  <c r="Q24" i="7"/>
  <c r="Q25" i="7" s="1"/>
  <c r="Q23" i="10"/>
  <c r="Q23" i="9"/>
  <c r="Q40" i="10"/>
  <c r="R16" i="7"/>
  <c r="Q24" i="2"/>
  <c r="P31" i="10"/>
  <c r="P31" i="9"/>
  <c r="P29" i="10"/>
  <c r="P29" i="9"/>
  <c r="P32" i="2"/>
  <c r="P45" i="5"/>
  <c r="AJ45" i="5"/>
  <c r="AF16" i="5"/>
  <c r="AI44" i="5" s="1"/>
  <c r="AI47" i="5" s="1"/>
  <c r="Q15" i="3"/>
  <c r="H11" i="8" l="1"/>
  <c r="H13" i="8" s="1"/>
  <c r="H14" i="8" s="1"/>
  <c r="T17" i="4"/>
  <c r="T34" i="4"/>
  <c r="T29" i="4"/>
  <c r="P33" i="2"/>
  <c r="P40" i="3" s="1"/>
  <c r="Q22" i="3"/>
  <c r="Q42" i="10"/>
  <c r="Q24" i="9"/>
  <c r="Q24" i="10"/>
  <c r="Q28" i="2"/>
  <c r="P34" i="2"/>
  <c r="R23" i="2"/>
  <c r="I15" i="8"/>
  <c r="AG16" i="5"/>
  <c r="S55" i="4" l="1"/>
  <c r="S20" i="4"/>
  <c r="T18" i="4"/>
  <c r="T35" i="4"/>
  <c r="I14" i="11"/>
  <c r="P39" i="3"/>
  <c r="P35" i="2"/>
  <c r="P67" i="10"/>
  <c r="R24" i="2"/>
  <c r="R23" i="10"/>
  <c r="R23" i="9"/>
  <c r="Q49" i="10"/>
  <c r="R13" i="7"/>
  <c r="R21" i="7" s="1"/>
  <c r="R23" i="7" s="1"/>
  <c r="Q28" i="10"/>
  <c r="Q28" i="9"/>
  <c r="Q29" i="2"/>
  <c r="S16" i="7"/>
  <c r="AG18" i="5"/>
  <c r="R13" i="3" s="1"/>
  <c r="AH16" i="5"/>
  <c r="AI16" i="5" s="1"/>
  <c r="P66" i="10" l="1"/>
  <c r="S38" i="4"/>
  <c r="G9" i="13" s="1"/>
  <c r="S56" i="4"/>
  <c r="S21" i="4"/>
  <c r="I11" i="8"/>
  <c r="I13" i="8" s="1"/>
  <c r="I14" i="8" s="1"/>
  <c r="U17" i="4"/>
  <c r="U34" i="4"/>
  <c r="U29" i="4"/>
  <c r="P47" i="3"/>
  <c r="P41" i="3"/>
  <c r="R40" i="10"/>
  <c r="Q29" i="9"/>
  <c r="Q29" i="10"/>
  <c r="R24" i="7"/>
  <c r="R25" i="7" s="1"/>
  <c r="Q31" i="2"/>
  <c r="R24" i="9"/>
  <c r="R24" i="10"/>
  <c r="R28" i="2"/>
  <c r="AJ16" i="5"/>
  <c r="AJ18" i="5" s="1"/>
  <c r="S13" i="3" s="1"/>
  <c r="AJ44" i="5"/>
  <c r="AJ47" i="5" s="1"/>
  <c r="R15" i="3"/>
  <c r="S13" i="7" l="1"/>
  <c r="S21" i="7" s="1"/>
  <c r="S23" i="7" s="1"/>
  <c r="U35" i="4"/>
  <c r="U18" i="4"/>
  <c r="P68" i="10"/>
  <c r="S37" i="4"/>
  <c r="F9" i="13" s="1"/>
  <c r="T19" i="4"/>
  <c r="T36" i="4"/>
  <c r="K10" i="13" s="1"/>
  <c r="E10" i="13"/>
  <c r="P51" i="3"/>
  <c r="P78" i="10" s="1"/>
  <c r="S28" i="4"/>
  <c r="P56" i="3"/>
  <c r="P61" i="3" s="1"/>
  <c r="P74" i="10"/>
  <c r="S40" i="10"/>
  <c r="R22" i="3"/>
  <c r="R42" i="10"/>
  <c r="Q32" i="2"/>
  <c r="Q31" i="9"/>
  <c r="Q31" i="10"/>
  <c r="R29" i="2"/>
  <c r="R31" i="2" s="1"/>
  <c r="R28" i="9"/>
  <c r="R28" i="10"/>
  <c r="S23" i="2"/>
  <c r="S24" i="2" s="1"/>
  <c r="J15" i="8"/>
  <c r="S15" i="3"/>
  <c r="E11" i="13" l="1"/>
  <c r="U19" i="4"/>
  <c r="U36" i="4"/>
  <c r="K11" i="13" s="1"/>
  <c r="V29" i="4"/>
  <c r="V17" i="4"/>
  <c r="V34" i="4"/>
  <c r="P62" i="3"/>
  <c r="J14" i="11"/>
  <c r="P88" i="10"/>
  <c r="P83" i="10"/>
  <c r="P88" i="9"/>
  <c r="S24" i="9"/>
  <c r="S24" i="10"/>
  <c r="T16" i="7"/>
  <c r="S23" i="9"/>
  <c r="S23" i="10"/>
  <c r="Q33" i="2"/>
  <c r="Q35" i="2" s="1"/>
  <c r="Q34" i="2"/>
  <c r="R32" i="2"/>
  <c r="R31" i="10"/>
  <c r="R31" i="9"/>
  <c r="R49" i="10"/>
  <c r="R29" i="10"/>
  <c r="R29" i="9"/>
  <c r="S24" i="7"/>
  <c r="S25" i="7" s="1"/>
  <c r="S22" i="3"/>
  <c r="S42" i="10"/>
  <c r="P89" i="9"/>
  <c r="P73" i="9"/>
  <c r="P84" i="9"/>
  <c r="P76" i="9"/>
  <c r="P87" i="9"/>
  <c r="P89" i="10"/>
  <c r="P85" i="9"/>
  <c r="P65" i="9"/>
  <c r="P77" i="9"/>
  <c r="P86" i="9"/>
  <c r="P75" i="9"/>
  <c r="P82" i="9"/>
  <c r="P66" i="9"/>
  <c r="P67" i="9"/>
  <c r="P78" i="9"/>
  <c r="P74" i="9"/>
  <c r="P83" i="9"/>
  <c r="P68" i="9"/>
  <c r="S28" i="2"/>
  <c r="J11" i="8"/>
  <c r="J13" i="8" s="1"/>
  <c r="J14" i="8" s="1"/>
  <c r="V18" i="4" l="1"/>
  <c r="V35" i="4"/>
  <c r="T55" i="4"/>
  <c r="T20" i="4"/>
  <c r="T21" i="4"/>
  <c r="T56" i="4"/>
  <c r="Q39" i="3"/>
  <c r="T38" i="4" s="1"/>
  <c r="G10" i="13" s="1"/>
  <c r="Q40" i="3"/>
  <c r="R33" i="2"/>
  <c r="R34" i="2"/>
  <c r="S29" i="2"/>
  <c r="S31" i="2" s="1"/>
  <c r="S28" i="9"/>
  <c r="S28" i="10"/>
  <c r="S49" i="10"/>
  <c r="T13" i="7"/>
  <c r="T21" i="7" s="1"/>
  <c r="T23" i="7" s="1"/>
  <c r="U55" i="4" l="1"/>
  <c r="U20" i="4"/>
  <c r="E12" i="13"/>
  <c r="V19" i="4"/>
  <c r="V36" i="4"/>
  <c r="K12" i="13" s="1"/>
  <c r="R40" i="3"/>
  <c r="R39" i="3"/>
  <c r="U38" i="4" s="1"/>
  <c r="G11" i="13" s="1"/>
  <c r="T24" i="7"/>
  <c r="T25" i="7" s="1"/>
  <c r="S32" i="2"/>
  <c r="S31" i="9"/>
  <c r="S31" i="10"/>
  <c r="S29" i="10"/>
  <c r="S29" i="9"/>
  <c r="Q66" i="10"/>
  <c r="Q41" i="3"/>
  <c r="T37" i="4" s="1"/>
  <c r="Q47" i="3"/>
  <c r="T28" i="4" s="1"/>
  <c r="Q67" i="10"/>
  <c r="R35" i="2"/>
  <c r="U56" i="4" l="1"/>
  <c r="U21" i="4"/>
  <c r="S34" i="2"/>
  <c r="S33" i="2"/>
  <c r="S40" i="3" s="1"/>
  <c r="Q74" i="10"/>
  <c r="Q51" i="3"/>
  <c r="Q56" i="3"/>
  <c r="Q68" i="10"/>
  <c r="R47" i="3"/>
  <c r="R66" i="10"/>
  <c r="R41" i="3"/>
  <c r="U37" i="4" s="1"/>
  <c r="R67" i="10"/>
  <c r="N34" i="7"/>
  <c r="N43" i="7" s="1"/>
  <c r="N46" i="7" s="1"/>
  <c r="N56" i="7" s="1"/>
  <c r="N55" i="7" s="1"/>
  <c r="L34" i="7"/>
  <c r="L43" i="7" s="1"/>
  <c r="L46" i="7" s="1"/>
  <c r="L56" i="7" s="1"/>
  <c r="L55" i="7" s="1"/>
  <c r="K34" i="7"/>
  <c r="K43" i="7" s="1"/>
  <c r="K46" i="7" s="1"/>
  <c r="K56" i="7" s="1"/>
  <c r="K55" i="7" s="1"/>
  <c r="R30" i="7"/>
  <c r="S30" i="7" s="1"/>
  <c r="R34" i="7"/>
  <c r="R43" i="7" s="1"/>
  <c r="Q34" i="7"/>
  <c r="Q43" i="7" s="1"/>
  <c r="Q46" i="7" s="1"/>
  <c r="V20" i="4" l="1"/>
  <c r="V55" i="4"/>
  <c r="U28" i="4"/>
  <c r="S39" i="3"/>
  <c r="S35" i="2"/>
  <c r="S67" i="10"/>
  <c r="R56" i="3"/>
  <c r="R74" i="10"/>
  <c r="R51" i="3"/>
  <c r="Q61" i="3"/>
  <c r="Q83" i="10"/>
  <c r="Q78" i="10"/>
  <c r="R68" i="10"/>
  <c r="Q56" i="7"/>
  <c r="R44" i="7"/>
  <c r="R46" i="7" s="1"/>
  <c r="S34" i="7"/>
  <c r="S43" i="7" s="1"/>
  <c r="T30" i="7"/>
  <c r="T34" i="7" s="1"/>
  <c r="T43" i="7" s="1"/>
  <c r="S47" i="3" l="1"/>
  <c r="V38" i="4"/>
  <c r="G12" i="13" s="1"/>
  <c r="V56" i="4"/>
  <c r="V21" i="4"/>
  <c r="S51" i="3"/>
  <c r="S78" i="10" s="1"/>
  <c r="S66" i="10"/>
  <c r="S41" i="3"/>
  <c r="Q88" i="10"/>
  <c r="Q62" i="3"/>
  <c r="S56" i="3"/>
  <c r="S74" i="10"/>
  <c r="R78" i="10"/>
  <c r="R61" i="3"/>
  <c r="R83" i="10"/>
  <c r="S44" i="7"/>
  <c r="S46" i="7" s="1"/>
  <c r="R56" i="7"/>
  <c r="S68" i="10" l="1"/>
  <c r="V37" i="4"/>
  <c r="V28" i="4"/>
  <c r="R88" i="10"/>
  <c r="Q75" i="9"/>
  <c r="Q86" i="9"/>
  <c r="Q89" i="9"/>
  <c r="Q73" i="9"/>
  <c r="Q84" i="9"/>
  <c r="Q76" i="9"/>
  <c r="Q87" i="9"/>
  <c r="Q65" i="9"/>
  <c r="Q77" i="9"/>
  <c r="Q85" i="9"/>
  <c r="Q89" i="10"/>
  <c r="Q82" i="9"/>
  <c r="Q67" i="9"/>
  <c r="Q66" i="9"/>
  <c r="Q74" i="9"/>
  <c r="Q68" i="9"/>
  <c r="Q83" i="9"/>
  <c r="Q78" i="9"/>
  <c r="S61" i="3"/>
  <c r="S83" i="10"/>
  <c r="R62" i="3"/>
  <c r="Q88" i="9"/>
  <c r="S56" i="7"/>
  <c r="T44" i="7"/>
  <c r="T46" i="7" s="1"/>
  <c r="T56" i="7" s="1"/>
  <c r="S88" i="10" l="1"/>
  <c r="S62" i="3"/>
  <c r="R89" i="10"/>
  <c r="R75" i="9"/>
  <c r="R86" i="9"/>
  <c r="R89" i="9"/>
  <c r="R73" i="9"/>
  <c r="R84" i="9"/>
  <c r="R85" i="9"/>
  <c r="R76" i="9"/>
  <c r="R87" i="9"/>
  <c r="R65" i="9"/>
  <c r="R77" i="9"/>
  <c r="R82" i="9"/>
  <c r="R66" i="9"/>
  <c r="R67" i="9"/>
  <c r="R68" i="9"/>
  <c r="R74" i="9"/>
  <c r="R78" i="9"/>
  <c r="R83" i="9"/>
  <c r="R88" i="9"/>
  <c r="R64" i="7"/>
  <c r="Q28" i="3" s="1"/>
  <c r="T64" i="7"/>
  <c r="S28" i="3" s="1"/>
  <c r="Q64" i="7"/>
  <c r="P28" i="3" s="1"/>
  <c r="S64" i="7"/>
  <c r="R28" i="3" s="1"/>
  <c r="Q65" i="7" l="1"/>
  <c r="P29" i="3" s="1"/>
  <c r="S65" i="9"/>
  <c r="S77" i="9"/>
  <c r="S89" i="10"/>
  <c r="S75" i="9"/>
  <c r="S86" i="9"/>
  <c r="S89" i="9"/>
  <c r="S73" i="9"/>
  <c r="S84" i="9"/>
  <c r="S76" i="9"/>
  <c r="S87" i="9"/>
  <c r="S85" i="9"/>
  <c r="S82" i="9"/>
  <c r="S67" i="9"/>
  <c r="S66" i="9"/>
  <c r="S68" i="9"/>
  <c r="S78" i="9"/>
  <c r="S74" i="9"/>
  <c r="S83" i="9"/>
  <c r="S88" i="9"/>
  <c r="S65" i="7"/>
  <c r="R29" i="3" s="1"/>
  <c r="R65" i="7"/>
  <c r="Q29" i="3" s="1"/>
  <c r="T65" i="7"/>
  <c r="S29" i="3" s="1"/>
  <c r="Q55" i="7"/>
  <c r="R54" i="7"/>
  <c r="R55" i="7" s="1"/>
  <c r="S54" i="7"/>
  <c r="S55" i="7" s="1"/>
  <c r="T54" i="7"/>
  <c r="T55" i="7" s="1"/>
  <c r="P56" i="10" l="1"/>
  <c r="S56" i="10"/>
  <c r="Q56" i="10" l="1"/>
  <c r="R56" i="10"/>
  <c r="R55" i="10"/>
  <c r="P55" i="10"/>
  <c r="S55" i="10"/>
  <c r="Q55" i="10"/>
  <c r="S33" i="3"/>
  <c r="R33" i="3"/>
  <c r="Q33" i="3"/>
  <c r="P33" i="3"/>
  <c r="R34" i="3" l="1"/>
  <c r="R40" i="9" s="1"/>
  <c r="U24" i="4"/>
  <c r="U25" i="4"/>
  <c r="U43" i="4"/>
  <c r="S34" i="3"/>
  <c r="S42" i="9" s="1"/>
  <c r="V24" i="4"/>
  <c r="V43" i="4"/>
  <c r="V25" i="4"/>
  <c r="P60" i="10"/>
  <c r="S24" i="4"/>
  <c r="S25" i="4"/>
  <c r="S43" i="4"/>
  <c r="T24" i="4"/>
  <c r="T25" i="4"/>
  <c r="T43" i="4"/>
  <c r="P34" i="3"/>
  <c r="S60" i="10"/>
  <c r="Q60" i="10"/>
  <c r="I18" i="8"/>
  <c r="H18" i="8"/>
  <c r="J18" i="8"/>
  <c r="Q34" i="3"/>
  <c r="R60" i="10"/>
  <c r="G18" i="8"/>
  <c r="R47" i="9"/>
  <c r="R52" i="9"/>
  <c r="R55" i="9"/>
  <c r="R58" i="9"/>
  <c r="R41" i="9"/>
  <c r="R49" i="9"/>
  <c r="R43" i="9"/>
  <c r="R57" i="9"/>
  <c r="R60" i="9"/>
  <c r="S54" i="9" l="1"/>
  <c r="S56" i="9"/>
  <c r="R42" i="9"/>
  <c r="R44" i="9"/>
  <c r="R61" i="9"/>
  <c r="R54" i="9"/>
  <c r="R48" i="9"/>
  <c r="R45" i="9"/>
  <c r="R46" i="9"/>
  <c r="R59" i="9"/>
  <c r="S58" i="9"/>
  <c r="S46" i="9"/>
  <c r="S43" i="9"/>
  <c r="S61" i="10"/>
  <c r="S48" i="9"/>
  <c r="S44" i="9"/>
  <c r="S59" i="9"/>
  <c r="S45" i="9"/>
  <c r="S41" i="9"/>
  <c r="S53" i="9"/>
  <c r="S61" i="9"/>
  <c r="S57" i="9"/>
  <c r="S49" i="9"/>
  <c r="S47" i="9"/>
  <c r="S40" i="9"/>
  <c r="S60" i="9"/>
  <c r="S52" i="9"/>
  <c r="R56" i="9"/>
  <c r="R53" i="9"/>
  <c r="S55" i="9"/>
  <c r="S42" i="4"/>
  <c r="S39" i="4"/>
  <c r="H9" i="13" s="1"/>
  <c r="V42" i="4"/>
  <c r="V39" i="4"/>
  <c r="H12" i="13" s="1"/>
  <c r="T42" i="4"/>
  <c r="T39" i="4"/>
  <c r="H10" i="13" s="1"/>
  <c r="U42" i="4"/>
  <c r="U39" i="4"/>
  <c r="H11" i="13" s="1"/>
  <c r="H20" i="8"/>
  <c r="I20" i="8"/>
  <c r="G20" i="8"/>
  <c r="J20" i="8"/>
  <c r="P46" i="9"/>
  <c r="Q40" i="9"/>
  <c r="Q45" i="9"/>
  <c r="P61" i="9"/>
  <c r="P43" i="9"/>
  <c r="Q55" i="9"/>
  <c r="Q59" i="9"/>
  <c r="P58" i="9"/>
  <c r="P45" i="9"/>
  <c r="P54" i="9"/>
  <c r="P57" i="9"/>
  <c r="P41" i="9"/>
  <c r="P53" i="9"/>
  <c r="P47" i="9"/>
  <c r="P60" i="9"/>
  <c r="P42" i="9"/>
  <c r="P44" i="9"/>
  <c r="P59" i="9"/>
  <c r="P55" i="9"/>
  <c r="P61" i="10"/>
  <c r="P52" i="9"/>
  <c r="P40" i="9"/>
  <c r="P48" i="9"/>
  <c r="P49" i="9"/>
  <c r="P56" i="9"/>
  <c r="Q43" i="9"/>
  <c r="Q60" i="9"/>
  <c r="Q61" i="10"/>
  <c r="Q52" i="9"/>
  <c r="R61" i="10"/>
  <c r="Q41" i="9"/>
  <c r="Q58" i="9"/>
  <c r="Q49" i="9"/>
  <c r="J17" i="11"/>
  <c r="J19" i="11" s="1"/>
  <c r="J25" i="11" s="1"/>
  <c r="H17" i="11"/>
  <c r="H19" i="11" s="1"/>
  <c r="Q46" i="9"/>
  <c r="Q47" i="9"/>
  <c r="Q57" i="9"/>
  <c r="Q61" i="9"/>
  <c r="Q53" i="9"/>
  <c r="Q54" i="9"/>
  <c r="Q44" i="9"/>
  <c r="Q56" i="9"/>
  <c r="Q42" i="9"/>
  <c r="Q48" i="9"/>
  <c r="I17" i="11"/>
  <c r="I19" i="11" s="1"/>
  <c r="G17" i="11"/>
  <c r="G19" i="11" s="1"/>
  <c r="J22" i="8" l="1"/>
  <c r="O19" i="8"/>
  <c r="B15" i="13" s="1"/>
  <c r="J24" i="11"/>
  <c r="J26" i="11" s="1"/>
  <c r="J28" i="11" s="1"/>
  <c r="L26" i="11" s="1"/>
  <c r="N31" i="11" s="1"/>
  <c r="O20" i="8" l="1"/>
  <c r="O21" i="8" l="1"/>
  <c r="B16" i="13"/>
  <c r="O23" i="8" l="1"/>
  <c r="B17" i="13"/>
  <c r="C15" i="13" s="1"/>
  <c r="L28" i="8" l="1"/>
  <c r="B19" i="13" s="1"/>
  <c r="B18" i="13"/>
  <c r="C16" i="13"/>
</calcChain>
</file>

<file path=xl/sharedStrings.xml><?xml version="1.0" encoding="utf-8"?>
<sst xmlns="http://schemas.openxmlformats.org/spreadsheetml/2006/main" count="704" uniqueCount="347">
  <si>
    <t>Akzo Nobel India</t>
  </si>
  <si>
    <t>Indigo Paints</t>
  </si>
  <si>
    <t>CONSOLIDATED STATEMENT OF PROFIT AND LOSS</t>
  </si>
  <si>
    <t>Materials Cost</t>
  </si>
  <si>
    <t>Other Operating Revenue</t>
  </si>
  <si>
    <t>REVENUE FROM OPERATIONS</t>
  </si>
  <si>
    <t>Purchases of Stock-in-Trade</t>
  </si>
  <si>
    <t>Revenue from Sale of Products and Services</t>
  </si>
  <si>
    <t>Employee Benefits Expense</t>
  </si>
  <si>
    <t>Changes in Inventories</t>
  </si>
  <si>
    <t>Other Expenses</t>
  </si>
  <si>
    <t>GROSS MARGIN</t>
  </si>
  <si>
    <t xml:space="preserve">EBITDA </t>
  </si>
  <si>
    <t>Depreciation and Amortisation Expense</t>
  </si>
  <si>
    <t>Tax Expense</t>
  </si>
  <si>
    <t>COST OF GOODS SOLD</t>
  </si>
  <si>
    <t>Exceptional Items</t>
  </si>
  <si>
    <t>Finance Costs</t>
  </si>
  <si>
    <t>Years</t>
  </si>
  <si>
    <t>PROFIT AFTER TAX</t>
  </si>
  <si>
    <t>Share of Profit in Associate</t>
  </si>
  <si>
    <t>Forecasts</t>
  </si>
  <si>
    <t>EBIT</t>
  </si>
  <si>
    <t>PROFIT BEFORE TAX</t>
  </si>
  <si>
    <t>Other Non-Operating Income</t>
  </si>
  <si>
    <t>FORECAST ASSUMPTIONS &amp; BASIS</t>
  </si>
  <si>
    <t>Materials Cost as % of Revenue</t>
  </si>
  <si>
    <t>Purchases of Stock-in-Trade as % of Revenue</t>
  </si>
  <si>
    <t>Changes in Inventories as % of Revenue</t>
  </si>
  <si>
    <t>Other Expenses as % of Revenue</t>
  </si>
  <si>
    <t>Effective Tax Rate</t>
  </si>
  <si>
    <t>Other Operating Revenue Growth %</t>
  </si>
  <si>
    <t>Revenue from Sale of Product and Services Growth %</t>
  </si>
  <si>
    <t>CONSOLIDATED STATEMENT OF FINANCIAL POSITION</t>
  </si>
  <si>
    <t>NSE: ASIANPAINT | BSE:500820</t>
  </si>
  <si>
    <t>Employee Benefits Expense Growth %</t>
  </si>
  <si>
    <t xml:space="preserve">Share of Profit in Associate Growth % </t>
  </si>
  <si>
    <t>ASSETS</t>
  </si>
  <si>
    <t>Non-Current Assets</t>
  </si>
  <si>
    <t>Property, Plant &amp; Equipment</t>
  </si>
  <si>
    <t>Investment in Associates</t>
  </si>
  <si>
    <t>Financial Assets</t>
  </si>
  <si>
    <t>Deferred Tax Assets (Net)</t>
  </si>
  <si>
    <t>Other Non-Current Assets</t>
  </si>
  <si>
    <t>Income Tax Assets (Net)</t>
  </si>
  <si>
    <t>Current Assets</t>
  </si>
  <si>
    <t>Inventories</t>
  </si>
  <si>
    <t>Other Balances with Bank</t>
  </si>
  <si>
    <t>Other Financial Assets</t>
  </si>
  <si>
    <t>Other Current Assets</t>
  </si>
  <si>
    <t>Total Non-Current Assets</t>
  </si>
  <si>
    <t>Total Current Assets</t>
  </si>
  <si>
    <t>TOTAL ASSETS</t>
  </si>
  <si>
    <t>EQUITY AND LIABILITIES</t>
  </si>
  <si>
    <t>Equity</t>
  </si>
  <si>
    <t>Equity Share capital</t>
  </si>
  <si>
    <t>Other Equity</t>
  </si>
  <si>
    <t>Total Equity</t>
  </si>
  <si>
    <t>Liabilities</t>
  </si>
  <si>
    <t>Non-Current Liabilities</t>
  </si>
  <si>
    <t>Financial Liabilities</t>
  </si>
  <si>
    <t>Borrowings</t>
  </si>
  <si>
    <t>Other Financial Liabilities</t>
  </si>
  <si>
    <t>Deferred Tax Liabilities (Net)</t>
  </si>
  <si>
    <t>Other Non-Current Liabilities</t>
  </si>
  <si>
    <t>Total Non-Current Liabilities</t>
  </si>
  <si>
    <t>Current Liabilities</t>
  </si>
  <si>
    <t>Other Current Liabilities</t>
  </si>
  <si>
    <t>Income Tax Liabilities (Net)</t>
  </si>
  <si>
    <t>Total Current-Liabilities</t>
  </si>
  <si>
    <t>TOTAL EQUITY AND LIABILITIES</t>
  </si>
  <si>
    <t xml:space="preserve">    </t>
  </si>
  <si>
    <t>Assets classified as Held for Sale</t>
  </si>
  <si>
    <t>Cash &amp; Cash Equivalents</t>
  </si>
  <si>
    <t>Trade Payables</t>
  </si>
  <si>
    <t>Trade Receivables</t>
  </si>
  <si>
    <t>Revenue Growth %</t>
  </si>
  <si>
    <t>Dividend Growth %</t>
  </si>
  <si>
    <t xml:space="preserve">ROE % </t>
  </si>
  <si>
    <t>ROCE %</t>
  </si>
  <si>
    <t>PERFORMANCE RATIOS</t>
  </si>
  <si>
    <t xml:space="preserve">Asset Turnover </t>
  </si>
  <si>
    <t>LIQUIDITY RATIOS</t>
  </si>
  <si>
    <t>Current Ratio</t>
  </si>
  <si>
    <t>Quick Ratio</t>
  </si>
  <si>
    <t>Financial Gearing Ratio</t>
  </si>
  <si>
    <t>Interest Cover</t>
  </si>
  <si>
    <t>EFFICIENCY RATIOS</t>
  </si>
  <si>
    <t>Inventory Turnover</t>
  </si>
  <si>
    <t>Receivables Turnover</t>
  </si>
  <si>
    <t xml:space="preserve">Payables Turnover </t>
  </si>
  <si>
    <t>Receivables Collection Period</t>
  </si>
  <si>
    <t>Payables Payment Period</t>
  </si>
  <si>
    <t>Inventory Holding Period</t>
  </si>
  <si>
    <t>Working Capital Cycle</t>
  </si>
  <si>
    <t>(Loss)/Profit from Discontinued Operations</t>
  </si>
  <si>
    <t>INVESTOR RATIOS</t>
  </si>
  <si>
    <t>Dividend Payout Ratio</t>
  </si>
  <si>
    <t xml:space="preserve">Dividend Yield </t>
  </si>
  <si>
    <t>Earnings Yield</t>
  </si>
  <si>
    <t>GROWTH ANALYSIS</t>
  </si>
  <si>
    <t xml:space="preserve">Retention Ratio </t>
  </si>
  <si>
    <t>Days in Period</t>
  </si>
  <si>
    <t>Year-end Share Price</t>
  </si>
  <si>
    <t>Profit attributable to owners</t>
  </si>
  <si>
    <t>Weighted Avg. Shares (Basic)</t>
  </si>
  <si>
    <t>Profit attributable to owners as % of PAT</t>
  </si>
  <si>
    <t>Dividend</t>
  </si>
  <si>
    <t>Dividend Per Share (DPS)</t>
  </si>
  <si>
    <t>(nos.)</t>
  </si>
  <si>
    <t>(D/E)</t>
  </si>
  <si>
    <t>SOLVENCY RATIOS</t>
  </si>
  <si>
    <t>Lease Liabilities</t>
  </si>
  <si>
    <t>NCI</t>
  </si>
  <si>
    <t>Median</t>
  </si>
  <si>
    <t>Mean</t>
  </si>
  <si>
    <t>Right-of-Use Assets</t>
  </si>
  <si>
    <t>Capital work-in-progress</t>
  </si>
  <si>
    <t>P/E Ratio</t>
  </si>
  <si>
    <t>CWIP as % of PPE</t>
  </si>
  <si>
    <t>Opening Balance</t>
  </si>
  <si>
    <t>Gross</t>
  </si>
  <si>
    <t>Gross Carrying Value</t>
  </si>
  <si>
    <t>PROPERTY, PLANT &amp; EQUIPMENT</t>
  </si>
  <si>
    <t>Addition/ Adjustments</t>
  </si>
  <si>
    <t>Year-end Carrying Value</t>
  </si>
  <si>
    <t>Depreciation</t>
  </si>
  <si>
    <t>Depreciation %</t>
  </si>
  <si>
    <t>Impairment</t>
  </si>
  <si>
    <t>Amortisation</t>
  </si>
  <si>
    <t>Amortisation %</t>
  </si>
  <si>
    <t>Basis</t>
  </si>
  <si>
    <t>Investment in Associates Growth %</t>
  </si>
  <si>
    <t>Deferred Tax Assets (Net) as % of Tax Expense</t>
  </si>
  <si>
    <t>Income Tax Assets (Net) Growth %</t>
  </si>
  <si>
    <t>Other Current Assets as % of Revenue</t>
  </si>
  <si>
    <t>Deferred Tax Liabilities (Net) Growth %</t>
  </si>
  <si>
    <t>Other Non-Current Liabilities as % of Revenue</t>
  </si>
  <si>
    <t>Other Current Liabilities as % of Revenue</t>
  </si>
  <si>
    <t>Income Tax Liabilities (Net) Growth %</t>
  </si>
  <si>
    <t xml:space="preserve">Basis </t>
  </si>
  <si>
    <t xml:space="preserve">Other Non-Operating Income Growth % </t>
  </si>
  <si>
    <t>RIGHT-OF-USE ASSET</t>
  </si>
  <si>
    <t>Balance at 1st April</t>
  </si>
  <si>
    <t>Balance at 31st March</t>
  </si>
  <si>
    <t>Net Additions</t>
  </si>
  <si>
    <t>DEPRECIATION &amp; AMORTISATION EXPENSE</t>
  </si>
  <si>
    <t>Depreciation of Property, Plant and Equipment</t>
  </si>
  <si>
    <t>Total (A)</t>
  </si>
  <si>
    <t>Proportion of Depreciation of PPE to (A)</t>
  </si>
  <si>
    <t>Proportion of Depreciation of ROU Assets (net) to (A)</t>
  </si>
  <si>
    <t>Proportion of Amortisation of Other Intangible assets to (A)</t>
  </si>
  <si>
    <t>FINANCE COST</t>
  </si>
  <si>
    <t>Total (B)</t>
  </si>
  <si>
    <t>Ʃ</t>
  </si>
  <si>
    <t>Growth %</t>
  </si>
  <si>
    <t>Interest on Bank Borrowings</t>
  </si>
  <si>
    <t>Interest on Bill Discounting</t>
  </si>
  <si>
    <t>Interest on Loan from State Government</t>
  </si>
  <si>
    <t>Interest on Lease Labilities</t>
  </si>
  <si>
    <t>Other Interest Expense</t>
  </si>
  <si>
    <t>Interest on Income Tax</t>
  </si>
  <si>
    <t>Proportion of Interest on Bank Borrowings to (B)</t>
  </si>
  <si>
    <t>Proportion of Interest on Bill Discounting to (B)</t>
  </si>
  <si>
    <t>Proportion of Interest on Loan from State Government to (B)</t>
  </si>
  <si>
    <t>Proportion of Interest on Lease Liabilities to (B)</t>
  </si>
  <si>
    <t>Proportion of Other Interest Expense to (B)</t>
  </si>
  <si>
    <t>Proportion of Interest on Income Tax to (B)</t>
  </si>
  <si>
    <t>SUPPORTING SCHEDULES</t>
  </si>
  <si>
    <t>-Basis for Forecasting</t>
  </si>
  <si>
    <r>
      <t xml:space="preserve">Depreciation of Right-of-Use assets </t>
    </r>
    <r>
      <rPr>
        <b/>
        <sz val="11"/>
        <color theme="1"/>
        <rFont val="Calibri"/>
        <family val="2"/>
        <scheme val="minor"/>
      </rPr>
      <t>(net)</t>
    </r>
  </si>
  <si>
    <r>
      <t>Amortisation of Other Intangible assets</t>
    </r>
    <r>
      <rPr>
        <b/>
        <sz val="11"/>
        <color theme="1"/>
        <rFont val="Calibri"/>
        <family val="2"/>
        <scheme val="minor"/>
      </rPr>
      <t xml:space="preserve"> (net)</t>
    </r>
  </si>
  <si>
    <t>Non-Current Borrowing/Current Borrowing</t>
  </si>
  <si>
    <t>Non-Current Lease Liabilities Growth %</t>
  </si>
  <si>
    <t>Current Lease Liabilities/Non-Current Lease Liabilities</t>
  </si>
  <si>
    <t>-Balancing Adjustment</t>
  </si>
  <si>
    <t>(CAPEX)</t>
  </si>
  <si>
    <t>(Amortisation)</t>
  </si>
  <si>
    <t>CapEx as % of Revenue</t>
  </si>
  <si>
    <t>Other Non-Current Assets/PPE</t>
  </si>
  <si>
    <t>Kd*(1-T)</t>
  </si>
  <si>
    <t>Other Non-Current Financial Liabilities as % of Revenue</t>
  </si>
  <si>
    <t>Other Current Financial Liabilities as % of Revenue</t>
  </si>
  <si>
    <t>Non-Current Financial Assets Growth %</t>
  </si>
  <si>
    <t>(B)</t>
  </si>
  <si>
    <t>CONSOLIDATED STATEMENT OF CASH FLOWS</t>
  </si>
  <si>
    <t>(A) CASH FLOW FROM OPERATING ACTIVITIES</t>
  </si>
  <si>
    <t>Profit before tax</t>
  </si>
  <si>
    <t>Adjustments:</t>
  </si>
  <si>
    <t>Finance Cost</t>
  </si>
  <si>
    <t>Share of Profit in Associates</t>
  </si>
  <si>
    <t>Impairment loss on Goodwill and Intangible assets</t>
  </si>
  <si>
    <t>Goodwill and Intangible Assets</t>
  </si>
  <si>
    <t>GOODWILL &amp; INTANGIBLE ASSETS</t>
  </si>
  <si>
    <t>Other</t>
  </si>
  <si>
    <t>Operating Profit before working capital changes</t>
  </si>
  <si>
    <t>Change in Working Capital</t>
  </si>
  <si>
    <t>Cash generated from Operating activities</t>
  </si>
  <si>
    <t>Income Tax paid (net of refund)</t>
  </si>
  <si>
    <t>Net Cash generated from Operating activities</t>
  </si>
  <si>
    <t>(B) CASH FLOW FROM INVESTING ACTIVITIES</t>
  </si>
  <si>
    <t>Payment for acquiring right-of-use assets</t>
  </si>
  <si>
    <t>Interest and Dividends Received</t>
  </si>
  <si>
    <t>Net Proceeds from sale of Financial Assets</t>
  </si>
  <si>
    <t>Net CapEx (PPE, Goodwill &amp; Intangible Assets)</t>
  </si>
  <si>
    <t>Loan given to third party</t>
  </si>
  <si>
    <t>Net Cash used in Investing activities</t>
  </si>
  <si>
    <t>(C) CASH FLOW FROM FINANCING ACTIVITIES</t>
  </si>
  <si>
    <t>Net Proceeds from Long-term Borrowings</t>
  </si>
  <si>
    <t>Proceeds from / (Repayment of) short term borrowings (net)</t>
  </si>
  <si>
    <t>Finance costs (including interest on lease liabilities) paid</t>
  </si>
  <si>
    <t>Dividend paid (including dividend paid to non-controlling shareholders)</t>
  </si>
  <si>
    <t>Net Cash used in Financing activities</t>
  </si>
  <si>
    <t>(D) NET INCREASE / (DECREASE) IN CASH AND CASH EQUIVALENTS [A+B+C]</t>
  </si>
  <si>
    <t>Add : Cash and cash equivalents as at 1st April</t>
  </si>
  <si>
    <t>Net effect of exchange gain/(loss) on cash and cash equivalents</t>
  </si>
  <si>
    <t>Cash and cash equivalents as at 31st March</t>
  </si>
  <si>
    <t>Continued Operations</t>
  </si>
  <si>
    <t>Discontinued Operations</t>
  </si>
  <si>
    <t>Depreciation and Amortisation expense</t>
  </si>
  <si>
    <t>Other*</t>
  </si>
  <si>
    <t>Other* Growth %</t>
  </si>
  <si>
    <t>Payment for acquiring right-of-use assets Growth %</t>
  </si>
  <si>
    <t>Tax Expense/Income Tax paid (net of refund)</t>
  </si>
  <si>
    <t>Interest and Dividends  as % of Other Non-Operating Income</t>
  </si>
  <si>
    <t>Incremental Working Capital as % of Revenue</t>
  </si>
  <si>
    <t>Cash And Cash Equivalents</t>
  </si>
  <si>
    <t>Cash and cash equivalents in Cash Flow Statement</t>
  </si>
  <si>
    <t>Market Securities/Liquid Investments</t>
  </si>
  <si>
    <t>Total</t>
  </si>
  <si>
    <t xml:space="preserve">Proportion of Cash &amp; Cash Equivalents to Other Balances with Bank </t>
  </si>
  <si>
    <t>CASH AND CASH EQUIVALENTS &amp; OTHER BALANCES WITH BANK</t>
  </si>
  <si>
    <t>CASH AND CASH EQUIVALENTS</t>
  </si>
  <si>
    <t>VALUATION USING FCFF TECHNIQUE</t>
  </si>
  <si>
    <t>Earnings Before Interest and  Tax (EBIT)</t>
  </si>
  <si>
    <t>Trend</t>
  </si>
  <si>
    <t>-</t>
  </si>
  <si>
    <t>ROA %</t>
  </si>
  <si>
    <r>
      <rPr>
        <i/>
        <sz val="9"/>
        <color theme="1"/>
        <rFont val="Calibri"/>
        <family val="2"/>
        <scheme val="minor"/>
      </rPr>
      <t>Less:</t>
    </r>
    <r>
      <rPr>
        <i/>
        <sz val="11"/>
        <color theme="1"/>
        <rFont val="Calibri"/>
        <family val="2"/>
        <scheme val="minor"/>
      </rPr>
      <t xml:space="preserve"> </t>
    </r>
    <r>
      <rPr>
        <sz val="11"/>
        <color theme="1"/>
        <rFont val="Calibri"/>
        <family val="2"/>
        <scheme val="minor"/>
      </rPr>
      <t>Other Non-Operating Income</t>
    </r>
  </si>
  <si>
    <r>
      <rPr>
        <i/>
        <sz val="9"/>
        <color theme="1"/>
        <rFont val="Calibri"/>
        <family val="2"/>
        <scheme val="minor"/>
      </rPr>
      <t>Less:</t>
    </r>
    <r>
      <rPr>
        <sz val="11"/>
        <color theme="1"/>
        <rFont val="Calibri"/>
        <family val="2"/>
        <scheme val="minor"/>
      </rPr>
      <t xml:space="preserve"> Tax</t>
    </r>
  </si>
  <si>
    <r>
      <rPr>
        <i/>
        <sz val="9"/>
        <color theme="1"/>
        <rFont val="Calibri"/>
        <family val="2"/>
        <scheme val="minor"/>
      </rPr>
      <t>Add:</t>
    </r>
    <r>
      <rPr>
        <sz val="9"/>
        <color theme="1"/>
        <rFont val="Calibri"/>
        <family val="2"/>
        <scheme val="minor"/>
      </rPr>
      <t xml:space="preserve"> </t>
    </r>
    <r>
      <rPr>
        <sz val="11"/>
        <color theme="1"/>
        <rFont val="Calibri"/>
        <family val="2"/>
        <scheme val="minor"/>
      </rPr>
      <t>Depreciation and Amortisation</t>
    </r>
  </si>
  <si>
    <r>
      <rPr>
        <i/>
        <sz val="9"/>
        <color theme="1"/>
        <rFont val="Calibri"/>
        <family val="2"/>
        <scheme val="minor"/>
      </rPr>
      <t>Add:</t>
    </r>
    <r>
      <rPr>
        <sz val="11"/>
        <color theme="1"/>
        <rFont val="Calibri"/>
        <family val="2"/>
        <scheme val="minor"/>
      </rPr>
      <t xml:space="preserve"> Impairment expense on Goodwill &amp; Intangible Asset</t>
    </r>
  </si>
  <si>
    <r>
      <rPr>
        <i/>
        <sz val="9"/>
        <color theme="1"/>
        <rFont val="Calibri"/>
        <family val="2"/>
        <scheme val="minor"/>
      </rPr>
      <t>Less:</t>
    </r>
    <r>
      <rPr>
        <sz val="11"/>
        <color theme="1"/>
        <rFont val="Calibri"/>
        <family val="2"/>
        <scheme val="minor"/>
      </rPr>
      <t xml:space="preserve"> Net CapEx (PPE, Goodwill and Intangible Asset)</t>
    </r>
  </si>
  <si>
    <r>
      <rPr>
        <i/>
        <sz val="9"/>
        <color theme="1"/>
        <rFont val="Calibri"/>
        <family val="2"/>
        <scheme val="minor"/>
      </rPr>
      <t>Less:</t>
    </r>
    <r>
      <rPr>
        <sz val="9"/>
        <color theme="1"/>
        <rFont val="Calibri"/>
        <family val="2"/>
        <scheme val="minor"/>
      </rPr>
      <t xml:space="preserve"> </t>
    </r>
    <r>
      <rPr>
        <sz val="11"/>
        <color theme="1"/>
        <rFont val="Calibri"/>
        <family val="2"/>
        <scheme val="minor"/>
      </rPr>
      <t>Increase in Working Capital</t>
    </r>
  </si>
  <si>
    <t>Terminal Growth</t>
  </si>
  <si>
    <t>Risk-free Rate</t>
  </si>
  <si>
    <t>Equity Risk Premium</t>
  </si>
  <si>
    <t>FREE CASH FLOW TO FIRM (FCFF)</t>
  </si>
  <si>
    <t>Company</t>
  </si>
  <si>
    <t>5-Year Levered Beta</t>
  </si>
  <si>
    <t>Berger Paints India</t>
  </si>
  <si>
    <t>Kansai Nerolac Paints</t>
  </si>
  <si>
    <t xml:space="preserve">Median Industry Levered Beta </t>
  </si>
  <si>
    <t>Terminal Value</t>
  </si>
  <si>
    <t>PV of FCFF (FY2027E-30E)</t>
  </si>
  <si>
    <t>Value of Firm</t>
  </si>
  <si>
    <t>Value of Equity</t>
  </si>
  <si>
    <t>Capital Structure (A)</t>
  </si>
  <si>
    <t>Debt</t>
  </si>
  <si>
    <t>Ordinary Shares</t>
  </si>
  <si>
    <t>WACC</t>
  </si>
  <si>
    <t>A*B</t>
  </si>
  <si>
    <t>Levered Beta for Asian Paints</t>
  </si>
  <si>
    <t>Working Capital Turnover</t>
  </si>
  <si>
    <t>Industry Unlevered Beta</t>
  </si>
  <si>
    <t>Cost of Capital (B)</t>
  </si>
  <si>
    <t>Weightage of Capital Structure</t>
  </si>
  <si>
    <t>Debt / Equity</t>
  </si>
  <si>
    <t>Value of Debt</t>
  </si>
  <si>
    <t>CAPM (Ke)</t>
  </si>
  <si>
    <t>Kd</t>
  </si>
  <si>
    <t>Tax Rate</t>
  </si>
  <si>
    <t xml:space="preserve">(as at 13 July 2026) </t>
  </si>
  <si>
    <t>EBIT Margin</t>
  </si>
  <si>
    <t>Revenue Growth</t>
  </si>
  <si>
    <t>Operating Revenue</t>
  </si>
  <si>
    <t>Sensitivity Table</t>
  </si>
  <si>
    <t>Unit Share Price</t>
  </si>
  <si>
    <t>SENSITIVITY ANALYSIS</t>
  </si>
  <si>
    <t>Bear Case</t>
  </si>
  <si>
    <t>Base Case</t>
  </si>
  <si>
    <t>Bull Case</t>
  </si>
  <si>
    <t>Other Current Financial Assets as % of Revenue</t>
  </si>
  <si>
    <r>
      <rPr>
        <b/>
        <i/>
        <sz val="12"/>
        <color theme="1"/>
        <rFont val="Calibri"/>
        <family val="2"/>
        <scheme val="minor"/>
      </rPr>
      <t>Conclusion:</t>
    </r>
    <r>
      <rPr>
        <i/>
        <sz val="12"/>
        <color theme="1"/>
        <rFont val="Calibri"/>
        <family val="2"/>
        <scheme val="minor"/>
      </rPr>
      <t xml:space="preserve"> Based on the FCFF methodology and assumptions adopted, the calculated intrinsic value indicates that the share price appears significantly higher than the estimated fundamental value. However, the market premium may reflect investor expectations regarding Asian Paints' future growth prospects, competitive positioning, brand strength and ability to generate superior returns over the long term.</t>
    </r>
  </si>
  <si>
    <r>
      <rPr>
        <b/>
        <i/>
        <sz val="9"/>
        <color theme="2" tint="-0.499984740745262"/>
        <rFont val="Calibri"/>
        <family val="2"/>
        <scheme val="minor"/>
      </rPr>
      <t xml:space="preserve">Note: </t>
    </r>
    <r>
      <rPr>
        <i/>
        <sz val="9"/>
        <color theme="2" tint="-0.499984740745262"/>
        <rFont val="Calibri"/>
        <family val="2"/>
        <scheme val="minor"/>
      </rPr>
      <t>The valuation has been performed using the FCFF approach under the assumption that Asian Paints Limited will continue as a going concern. Forecast financial statements were prepared using historical trends, company-specific assumptions and management-consistent operating behaviour. Market-based inputs used in estimating the discount rate were obtained from the latest publicly available sources at the valuation date, while the terminal growth rate was conservatively estimated using the forecast-period FCFF CAGR to reflect the company's long-term sustainable growth prospects.</t>
    </r>
  </si>
  <si>
    <t>ebit</t>
  </si>
  <si>
    <t>Earnings Per Share (EPS) (Basic)</t>
  </si>
  <si>
    <t>Proportion of NCI to Other Equity (RE Distribution)</t>
  </si>
  <si>
    <t>(Depreciation)</t>
  </si>
  <si>
    <t>Depreciation as % of closing balance of ROU Asset</t>
  </si>
  <si>
    <t>COMPARATIVE CONSOLIDATED STATEMENT OF PROFIT AND LOSS</t>
  </si>
  <si>
    <t>COMPARATIVE CONSOLIDATED STATEMENT OF FINANCIAL POSITION</t>
  </si>
  <si>
    <t>COMMON-SIZE CONSOLIDATED STATEMENT OF PROFIT AND LOSS</t>
  </si>
  <si>
    <t>COMMON-SIZE CONSOLIDATED STATEMENT OF FINANCIAL POSITION</t>
  </si>
  <si>
    <t>The sensitivity analysis demonstrates the impact of changes in the Revenue Growth, EBIT Margin, Tax Rate, Weighted Average Cost of Capital (WACC) and Terminal Growth Rate on the estimated intrinsic value per share. The valuation remains highly sensitive to these assumptions because a significant proportion of enterprise value is derived from the terminal value calculation. A lower WACC or higher terminal growth rate results in a higher intrinsic value, whereas a higher discount rate or lower growth assumption reduces the estimated value.</t>
  </si>
  <si>
    <t>Adjusted Earnings Before Interest And Tax</t>
  </si>
  <si>
    <t>Reported Earnings Before Interest and  Tax (EBIT)</t>
  </si>
  <si>
    <t>Upside/(Downside)</t>
  </si>
  <si>
    <t>N/A</t>
  </si>
  <si>
    <t>Historical</t>
  </si>
  <si>
    <t>FINANCIAL RATIOS</t>
  </si>
  <si>
    <t>Revenue</t>
  </si>
  <si>
    <t>Gross Profit</t>
  </si>
  <si>
    <t>PAT</t>
  </si>
  <si>
    <t>EBITDA</t>
  </si>
  <si>
    <t>Year</t>
  </si>
  <si>
    <t>ROA%</t>
  </si>
  <si>
    <t xml:space="preserve">ROE% </t>
  </si>
  <si>
    <t>EBITDA Margin</t>
  </si>
  <si>
    <t>Gross Profit Margin</t>
  </si>
  <si>
    <t>PAT Margin</t>
  </si>
  <si>
    <t>Equity Value</t>
  </si>
  <si>
    <t>Capital Mix</t>
  </si>
  <si>
    <t>PV of FCFF (FY27E-FY30E)</t>
  </si>
  <si>
    <t xml:space="preserve"> EBITDA</t>
  </si>
  <si>
    <t>Values</t>
  </si>
  <si>
    <t>Gross Profit %</t>
  </si>
  <si>
    <t xml:space="preserve"> PAT Margin</t>
  </si>
  <si>
    <t>Weightage</t>
  </si>
  <si>
    <t xml:space="preserve">Cost </t>
  </si>
  <si>
    <t xml:space="preserve"> ROCE %</t>
  </si>
  <si>
    <t xml:space="preserve"> EBITDA Margin</t>
  </si>
  <si>
    <t xml:space="preserve"> Revenue</t>
  </si>
  <si>
    <t xml:space="preserve"> Gross Profit</t>
  </si>
  <si>
    <t xml:space="preserve"> Profit After Tax</t>
  </si>
  <si>
    <t>(in ₹ Cr. unless stated otherwise)</t>
  </si>
  <si>
    <t>52-WEEK (HIGH: ₹ 2985.70| LOW: ₹  2115.00 )</t>
  </si>
  <si>
    <t>₹/share</t>
  </si>
  <si>
    <t>(₹/Share)</t>
  </si>
  <si>
    <t>Intrinsic Value (₹/share)</t>
  </si>
  <si>
    <r>
      <rPr>
        <b/>
        <i/>
        <sz val="9"/>
        <color theme="2" tint="-0.499984740745262"/>
        <rFont val="Calibri"/>
        <family val="2"/>
        <scheme val="minor"/>
      </rPr>
      <t>NOTE:</t>
    </r>
    <r>
      <rPr>
        <i/>
        <sz val="9"/>
        <color theme="2" tint="-0.499984740745262"/>
        <rFont val="Calibri"/>
        <family val="2"/>
        <scheme val="minor"/>
      </rPr>
      <t xml:space="preserve"> Reported EBIT includes Other Non-Operating Income and is taken as it is to reconcile with the publically issued historical ASIAN PAINTS LTD. INTEGRATED FINANCIAL REPORTS. For the purpose of FCFF Valuation, the Adjusted EBIT (Reported EBIT less Other Non-Operating Income) is used .</t>
    </r>
  </si>
  <si>
    <r>
      <t xml:space="preserve">Earnings Per Share </t>
    </r>
    <r>
      <rPr>
        <sz val="9"/>
        <color theme="1"/>
        <rFont val="Calibri"/>
        <family val="2"/>
        <scheme val="minor"/>
      </rPr>
      <t>(Basic)</t>
    </r>
  </si>
  <si>
    <t>Dividend Per Share</t>
  </si>
  <si>
    <t>Return on Assets (ROA) %</t>
  </si>
  <si>
    <t xml:space="preserve">Return on Equity (ROE) % </t>
  </si>
  <si>
    <t>Return on Capital Employed (ROCE) %</t>
  </si>
  <si>
    <t>Profit After Tax (PAT) Margin %</t>
  </si>
  <si>
    <t>Earnings Before Tax (EBT) Margin %</t>
  </si>
  <si>
    <t>Earnings Before Interest &amp; Tax (EBIT) Margin %</t>
  </si>
  <si>
    <t>Earnings Before Interest, Tax, Depreciation &amp; Amortisation (EBITDA) Margin %</t>
  </si>
  <si>
    <t>Gross Profit Margin %</t>
  </si>
  <si>
    <t>Cost of Goods Sold (COGS) Growth %</t>
  </si>
  <si>
    <t>Earnings Before Interest, Tax, Depreciation &amp; Amortisation (EBITDA) Growth %</t>
  </si>
  <si>
    <t>Earnings Before Interest &amp; Tax (EBIT) Growth %</t>
  </si>
  <si>
    <t>Earnings Before Tax (EBT) Growth %</t>
  </si>
  <si>
    <t>Profit After Tax (PAT) Growth %</t>
  </si>
  <si>
    <t xml:space="preserve">Earnings Per Share (EPS) Growth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</si>
</sst>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8" formatCode="&quot;₹&quot;\ #,##0.00;[Red]&quot;₹&quot;\ \-#,##0.00"/>
    <numFmt numFmtId="43" formatCode="_ * #,##0.00_ ;_ * \-#,##0.00_ ;_ * &quot;-&quot;??_ ;_ @_ "/>
    <numFmt numFmtId="164" formatCode="###0\ &quot;E&quot;"/>
    <numFmt numFmtId="165" formatCode="&quot;FY&quot;###0&quot;A&quot;"/>
    <numFmt numFmtId="166" formatCode="&quot;FY&quot;###0&quot;E&quot;"/>
    <numFmt numFmtId="167" formatCode="#,##0.00;\(#,##0.00\);\-"/>
    <numFmt numFmtId="168" formatCode="0.00&quot;x&quot;"/>
    <numFmt numFmtId="169" formatCode="0\ &quot;days&quot;"/>
    <numFmt numFmtId="170" formatCode="#,##0.0"/>
    <numFmt numFmtId="171" formatCode="&quot;₹&quot;\ #,##0.00"/>
    <numFmt numFmtId="172" formatCode="0.0000000000"/>
    <numFmt numFmtId="173" formatCode="0.00%;\-0.00%;\-"/>
    <numFmt numFmtId="174" formatCode="#,##0.00000;\(#,##0.00000\);\-"/>
    <numFmt numFmtId="175" formatCode="##0.00\ &quot;(B)&quot;"/>
    <numFmt numFmtId="176" formatCode="0.000"/>
    <numFmt numFmtId="177" formatCode="0.00;\-0.00;\-"/>
    <numFmt numFmtId="178" formatCode="&quot;+&quot;0.00%;[Red]\(0.00%\);\-"/>
    <numFmt numFmtId="179" formatCode="&quot;+&quot;0.00%;[Red]\-0.00%;\-"/>
    <numFmt numFmtId="180" formatCode="&quot;FY&quot;0&quot;A&quot;"/>
    <numFmt numFmtId="181" formatCode="&quot;FY&quot;0&quot;E&quot;"/>
    <numFmt numFmtId="182" formatCode="&quot;₹&quot;\ #,##0.00,\k\ &quot;Cr.&quot;"/>
    <numFmt numFmtId="183" formatCode="&quot;FY&quot;0"/>
    <numFmt numFmtId="184" formatCode="&quot;₹&quot;\ #,##0\ &quot;Cr.&quot;"/>
  </numFmts>
  <fonts count="36" x14ac:knownFonts="1">
    <font>
      <sz val="11"/>
      <color theme="1"/>
      <name val="Calibri"/>
      <family val="2"/>
      <scheme val="minor"/>
    </font>
    <font>
      <b/>
      <sz val="11"/>
      <color theme="1"/>
      <name val="Calibri"/>
      <family val="2"/>
      <scheme val="minor"/>
    </font>
    <font>
      <i/>
      <sz val="11"/>
      <color theme="1"/>
      <name val="Calibri"/>
      <family val="2"/>
      <scheme val="minor"/>
    </font>
    <font>
      <b/>
      <sz val="16"/>
      <color rgb="FFE24B08"/>
      <name val="Calibri"/>
      <family val="2"/>
      <scheme val="minor"/>
    </font>
    <font>
      <b/>
      <sz val="14"/>
      <color rgb="FFE24B08"/>
      <name val="Calibri"/>
      <family val="2"/>
      <scheme val="minor"/>
    </font>
    <font>
      <b/>
      <i/>
      <sz val="9"/>
      <color theme="1"/>
      <name val="Calibri"/>
      <family val="2"/>
      <scheme val="minor"/>
    </font>
    <font>
      <sz val="11"/>
      <color theme="1"/>
      <name val="Calibri"/>
      <family val="2"/>
      <scheme val="minor"/>
    </font>
    <font>
      <sz val="11"/>
      <color rgb="FF002060"/>
      <name val="Calibri"/>
      <family val="2"/>
      <scheme val="minor"/>
    </font>
    <font>
      <b/>
      <sz val="11"/>
      <color rgb="FF002060"/>
      <name val="Calibri"/>
      <family val="2"/>
      <scheme val="minor"/>
    </font>
    <font>
      <i/>
      <sz val="8"/>
      <color theme="1"/>
      <name val="Calibri"/>
      <family val="2"/>
      <scheme val="minor"/>
    </font>
    <font>
      <b/>
      <i/>
      <sz val="8"/>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sz val="11"/>
      <color theme="1"/>
      <name val="Calibri"/>
      <family val="2"/>
    </font>
    <font>
      <i/>
      <sz val="9"/>
      <color theme="1"/>
      <name val="Calibri"/>
      <family val="2"/>
      <scheme val="minor"/>
    </font>
    <font>
      <sz val="11"/>
      <color rgb="FFED2F24"/>
      <name val="Calibri"/>
      <family val="2"/>
      <scheme val="minor"/>
    </font>
    <font>
      <b/>
      <sz val="16"/>
      <color rgb="FFED2F24"/>
      <name val="Calibri"/>
      <family val="2"/>
      <scheme val="minor"/>
    </font>
    <font>
      <b/>
      <u/>
      <sz val="26"/>
      <color rgb="FF310E5F"/>
      <name val="Candara Light"/>
      <family val="2"/>
    </font>
    <font>
      <b/>
      <sz val="8"/>
      <color rgb="FFE24B08"/>
      <name val="Calibri"/>
      <family val="2"/>
      <scheme val="minor"/>
    </font>
    <font>
      <b/>
      <u val="singleAccounting"/>
      <sz val="11"/>
      <color theme="1"/>
      <name val="Calibri"/>
      <family val="2"/>
      <scheme val="minor"/>
    </font>
    <font>
      <sz val="9"/>
      <color theme="1"/>
      <name val="Calibri"/>
      <family val="2"/>
      <scheme val="minor"/>
    </font>
    <font>
      <b/>
      <i/>
      <sz val="10"/>
      <color theme="1"/>
      <name val="Calibri"/>
      <family val="2"/>
      <scheme val="minor"/>
    </font>
    <font>
      <b/>
      <sz val="11"/>
      <color theme="5" tint="-0.499984740745262"/>
      <name val="Calibri"/>
      <family val="2"/>
      <scheme val="minor"/>
    </font>
    <font>
      <sz val="11"/>
      <color theme="0"/>
      <name val="Calibri"/>
      <family val="2"/>
      <scheme val="minor"/>
    </font>
    <font>
      <b/>
      <sz val="26"/>
      <color theme="1"/>
      <name val="Calibri"/>
      <family val="2"/>
      <scheme val="minor"/>
    </font>
    <font>
      <b/>
      <sz val="28"/>
      <color theme="1"/>
      <name val="Calibri"/>
      <family val="2"/>
      <scheme val="minor"/>
    </font>
    <font>
      <b/>
      <i/>
      <sz val="11"/>
      <color theme="1"/>
      <name val="Calibri"/>
      <family val="2"/>
      <scheme val="minor"/>
    </font>
    <font>
      <i/>
      <sz val="12"/>
      <color theme="1"/>
      <name val="Calibri"/>
      <family val="2"/>
      <scheme val="minor"/>
    </font>
    <font>
      <b/>
      <i/>
      <sz val="12"/>
      <color theme="1"/>
      <name val="Calibri"/>
      <family val="2"/>
      <scheme val="minor"/>
    </font>
    <font>
      <i/>
      <sz val="9"/>
      <color theme="2" tint="-0.499984740745262"/>
      <name val="Calibri"/>
      <family val="2"/>
      <scheme val="minor"/>
    </font>
    <font>
      <b/>
      <i/>
      <sz val="9"/>
      <color theme="2" tint="-0.499984740745262"/>
      <name val="Calibri"/>
      <family val="2"/>
      <scheme val="minor"/>
    </font>
    <font>
      <sz val="11"/>
      <color theme="2" tint="-0.499984740745262"/>
      <name val="Calibri"/>
      <family val="2"/>
      <scheme val="minor"/>
    </font>
    <font>
      <u/>
      <sz val="11"/>
      <color theme="1"/>
      <name val="Calibri"/>
      <family val="2"/>
      <scheme val="minor"/>
    </font>
    <font>
      <b/>
      <sz val="16"/>
      <color theme="0" tint="-0.34998626667073579"/>
      <name val="Calibri"/>
      <family val="2"/>
      <scheme val="minor"/>
    </font>
    <font>
      <b/>
      <sz val="14"/>
      <color rgb="FF002060"/>
      <name val="Calibri"/>
      <family val="2"/>
      <scheme val="minor"/>
    </font>
  </fonts>
  <fills count="10">
    <fill>
      <patternFill patternType="none"/>
    </fill>
    <fill>
      <patternFill patternType="gray125"/>
    </fill>
    <fill>
      <patternFill patternType="solid">
        <fgColor theme="5" tint="0.7999816888943144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92D050"/>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1EDF7"/>
        <bgColor indexed="64"/>
      </patternFill>
    </fill>
  </fills>
  <borders count="37">
    <border>
      <left/>
      <right/>
      <top/>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double">
        <color theme="0" tint="-4.9989318521683403E-2"/>
      </bottom>
      <diagonal/>
    </border>
    <border>
      <left/>
      <right/>
      <top style="thin">
        <color indexed="64"/>
      </top>
      <bottom style="double">
        <color theme="0" tint="-4.9989318521683403E-2"/>
      </bottom>
      <diagonal/>
    </border>
    <border>
      <left/>
      <right/>
      <top style="thick">
        <color rgb="FFE24B08"/>
      </top>
      <bottom style="thick">
        <color rgb="FFE24B08"/>
      </bottom>
      <diagonal/>
    </border>
    <border>
      <left/>
      <right/>
      <top/>
      <bottom style="thick">
        <color rgb="FFE24B08"/>
      </bottom>
      <diagonal/>
    </border>
    <border>
      <left style="thin">
        <color indexed="64"/>
      </left>
      <right style="thin">
        <color indexed="64"/>
      </right>
      <top/>
      <bottom/>
      <diagonal/>
    </border>
    <border>
      <left style="thin">
        <color indexed="64"/>
      </left>
      <right/>
      <top style="thin">
        <color indexed="64"/>
      </top>
      <bottom style="double">
        <color theme="0" tint="-4.9989318521683403E-2"/>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double">
        <color indexed="64"/>
      </bottom>
      <diagonal/>
    </border>
    <border>
      <left/>
      <right/>
      <top style="double">
        <color theme="0" tint="-4.9989318521683403E-2"/>
      </top>
      <bottom style="thin">
        <color indexed="64"/>
      </bottom>
      <diagonal/>
    </border>
    <border>
      <left/>
      <right style="thin">
        <color indexed="64"/>
      </right>
      <top style="double">
        <color theme="0" tint="-4.9989318521683403E-2"/>
      </top>
      <bottom style="thin">
        <color indexed="64"/>
      </bottom>
      <diagonal/>
    </border>
    <border>
      <left style="thin">
        <color indexed="64"/>
      </left>
      <right/>
      <top style="double">
        <color theme="0" tint="-4.9989318521683403E-2"/>
      </top>
      <bottom style="thin">
        <color indexed="64"/>
      </bottom>
      <diagonal/>
    </border>
    <border>
      <left style="thin">
        <color indexed="64"/>
      </left>
      <right style="thin">
        <color indexed="64"/>
      </right>
      <top style="double">
        <color theme="0" tint="-4.9989318521683403E-2"/>
      </top>
      <bottom style="thin">
        <color indexed="64"/>
      </bottom>
      <diagonal/>
    </border>
    <border>
      <left style="thin">
        <color indexed="64"/>
      </left>
      <right style="thin">
        <color indexed="64"/>
      </right>
      <top style="thin">
        <color indexed="64"/>
      </top>
      <bottom style="double">
        <color theme="0" tint="-4.9989318521683403E-2"/>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s>
  <cellStyleXfs count="3">
    <xf numFmtId="0" fontId="0" fillId="0" borderId="0"/>
    <xf numFmtId="43" fontId="6" fillId="0" borderId="0" applyFont="0" applyFill="0" applyBorder="0" applyAlignment="0" applyProtection="0"/>
    <xf numFmtId="9" fontId="6" fillId="0" borderId="0" applyFont="0" applyFill="0" applyBorder="0" applyAlignment="0" applyProtection="0"/>
  </cellStyleXfs>
  <cellXfs count="605">
    <xf numFmtId="0" fontId="0" fillId="0" borderId="0" xfId="0"/>
    <xf numFmtId="0" fontId="1" fillId="0" borderId="0" xfId="0" applyFont="1"/>
    <xf numFmtId="0" fontId="0" fillId="0" borderId="0" xfId="0" applyAlignment="1">
      <alignment vertical="center"/>
    </xf>
    <xf numFmtId="0" fontId="1" fillId="0" borderId="0" xfId="0" applyFont="1" applyAlignment="1">
      <alignment horizontal="center" vertical="center"/>
    </xf>
    <xf numFmtId="2" fontId="0" fillId="0" borderId="0" xfId="0" applyNumberFormat="1"/>
    <xf numFmtId="4" fontId="0" fillId="0" borderId="0" xfId="0" applyNumberFormat="1" applyAlignment="1">
      <alignment vertical="center"/>
    </xf>
    <xf numFmtId="164" fontId="1" fillId="0" borderId="0" xfId="0" applyNumberFormat="1" applyFont="1"/>
    <xf numFmtId="0" fontId="0" fillId="0" borderId="3" xfId="0" applyBorder="1"/>
    <xf numFmtId="0" fontId="0" fillId="0" borderId="3" xfId="0" applyBorder="1" applyAlignment="1">
      <alignment horizontal="left"/>
    </xf>
    <xf numFmtId="0" fontId="1" fillId="2" borderId="4" xfId="0" applyFont="1" applyFill="1" applyBorder="1"/>
    <xf numFmtId="0" fontId="1" fillId="2" borderId="4" xfId="0" applyFont="1" applyFill="1" applyBorder="1" applyAlignment="1">
      <alignment horizontal="left"/>
    </xf>
    <xf numFmtId="0" fontId="0" fillId="0" borderId="6" xfId="0" applyBorder="1"/>
    <xf numFmtId="0" fontId="1" fillId="3" borderId="8" xfId="0" applyFont="1" applyFill="1" applyBorder="1"/>
    <xf numFmtId="0" fontId="1" fillId="3" borderId="9" xfId="0" applyFont="1" applyFill="1" applyBorder="1"/>
    <xf numFmtId="0" fontId="1" fillId="3" borderId="2" xfId="0" applyFont="1" applyFill="1" applyBorder="1"/>
    <xf numFmtId="0" fontId="1" fillId="3" borderId="11" xfId="0" applyFont="1" applyFill="1" applyBorder="1"/>
    <xf numFmtId="0" fontId="0" fillId="0" borderId="8" xfId="0" applyBorder="1"/>
    <xf numFmtId="0" fontId="5" fillId="0" borderId="0" xfId="0" applyFont="1"/>
    <xf numFmtId="0" fontId="1" fillId="2" borderId="1" xfId="0" applyFont="1" applyFill="1" applyBorder="1"/>
    <xf numFmtId="0" fontId="1" fillId="2" borderId="7" xfId="0" applyFont="1" applyFill="1" applyBorder="1"/>
    <xf numFmtId="0" fontId="1" fillId="3" borderId="10" xfId="0" applyFont="1" applyFill="1" applyBorder="1"/>
    <xf numFmtId="0" fontId="1" fillId="3" borderId="5" xfId="0" applyFont="1" applyFill="1" applyBorder="1"/>
    <xf numFmtId="0" fontId="1" fillId="0" borderId="3" xfId="0" applyFont="1" applyBorder="1"/>
    <xf numFmtId="43" fontId="0" fillId="0" borderId="0" xfId="1" applyFont="1" applyBorder="1"/>
    <xf numFmtId="43" fontId="0" fillId="0" borderId="6" xfId="1" applyFont="1" applyBorder="1"/>
    <xf numFmtId="0" fontId="1" fillId="0" borderId="0" xfId="0" applyFont="1" applyAlignment="1">
      <alignment horizontal="left"/>
    </xf>
    <xf numFmtId="43" fontId="1" fillId="0" borderId="0" xfId="1" applyFont="1" applyFill="1" applyBorder="1"/>
    <xf numFmtId="0" fontId="1" fillId="0" borderId="15" xfId="0" applyFont="1" applyBorder="1"/>
    <xf numFmtId="43" fontId="7" fillId="0" borderId="0" xfId="1" applyFont="1" applyBorder="1"/>
    <xf numFmtId="165" fontId="1" fillId="3" borderId="11" xfId="0" applyNumberFormat="1" applyFont="1" applyFill="1" applyBorder="1"/>
    <xf numFmtId="166" fontId="1" fillId="4" borderId="11" xfId="0" applyNumberFormat="1" applyFont="1" applyFill="1" applyBorder="1"/>
    <xf numFmtId="166" fontId="1" fillId="4" borderId="5" xfId="0" applyNumberFormat="1" applyFont="1" applyFill="1" applyBorder="1"/>
    <xf numFmtId="0" fontId="0" fillId="0" borderId="0" xfId="0" applyAlignment="1">
      <alignment horizontal="left"/>
    </xf>
    <xf numFmtId="165" fontId="1" fillId="3" borderId="8" xfId="0" applyNumberFormat="1" applyFont="1" applyFill="1" applyBorder="1"/>
    <xf numFmtId="0" fontId="0" fillId="0" borderId="10" xfId="0" applyBorder="1"/>
    <xf numFmtId="0" fontId="1" fillId="6" borderId="12" xfId="0" applyFont="1" applyFill="1" applyBorder="1" applyAlignment="1">
      <alignment horizontal="center"/>
    </xf>
    <xf numFmtId="166" fontId="1" fillId="4" borderId="1" xfId="0" applyNumberFormat="1" applyFont="1" applyFill="1" applyBorder="1"/>
    <xf numFmtId="166" fontId="1" fillId="4" borderId="7" xfId="0" applyNumberFormat="1" applyFont="1" applyFill="1" applyBorder="1"/>
    <xf numFmtId="0" fontId="1" fillId="3" borderId="4" xfId="0" applyFont="1" applyFill="1" applyBorder="1"/>
    <xf numFmtId="0" fontId="1" fillId="3" borderId="1" xfId="0" applyFont="1" applyFill="1" applyBorder="1"/>
    <xf numFmtId="43" fontId="0" fillId="0" borderId="0" xfId="0" applyNumberFormat="1"/>
    <xf numFmtId="0" fontId="1" fillId="0" borderId="3" xfId="0" applyFont="1" applyBorder="1" applyAlignment="1">
      <alignment horizontal="left"/>
    </xf>
    <xf numFmtId="0" fontId="4" fillId="0" borderId="0" xfId="0" applyFont="1" applyAlignment="1">
      <alignment horizontal="left" vertical="top"/>
    </xf>
    <xf numFmtId="10" fontId="0" fillId="0" borderId="0" xfId="0" applyNumberFormat="1"/>
    <xf numFmtId="4" fontId="0" fillId="0" borderId="0" xfId="0" applyNumberFormat="1"/>
    <xf numFmtId="10" fontId="0" fillId="0" borderId="0" xfId="2" applyNumberFormat="1" applyFont="1" applyFill="1" applyBorder="1"/>
    <xf numFmtId="10" fontId="7" fillId="0" borderId="3" xfId="2" applyNumberFormat="1" applyFont="1" applyFill="1" applyBorder="1"/>
    <xf numFmtId="10" fontId="7" fillId="0" borderId="0" xfId="2" applyNumberFormat="1" applyFont="1" applyFill="1" applyBorder="1"/>
    <xf numFmtId="10" fontId="7" fillId="0" borderId="6" xfId="2" applyNumberFormat="1" applyFont="1" applyFill="1" applyBorder="1"/>
    <xf numFmtId="0" fontId="0" fillId="0" borderId="3" xfId="0" applyBorder="1" applyAlignment="1">
      <alignment horizontal="left" indent="2"/>
    </xf>
    <xf numFmtId="0" fontId="11" fillId="0" borderId="3" xfId="0" applyFont="1" applyBorder="1"/>
    <xf numFmtId="0" fontId="1" fillId="2" borderId="1" xfId="0" applyFont="1" applyFill="1" applyBorder="1" applyAlignment="1">
      <alignment horizontal="right"/>
    </xf>
    <xf numFmtId="0" fontId="1" fillId="2" borderId="7" xfId="0" applyFont="1" applyFill="1" applyBorder="1" applyAlignment="1">
      <alignment horizontal="right"/>
    </xf>
    <xf numFmtId="0" fontId="3" fillId="0" borderId="0" xfId="0" applyFont="1"/>
    <xf numFmtId="165" fontId="1" fillId="3" borderId="1" xfId="0" applyNumberFormat="1" applyFont="1" applyFill="1" applyBorder="1"/>
    <xf numFmtId="165" fontId="1" fillId="3" borderId="2" xfId="0" applyNumberFormat="1" applyFont="1" applyFill="1" applyBorder="1"/>
    <xf numFmtId="43" fontId="0" fillId="0" borderId="9" xfId="1" applyFont="1" applyBorder="1"/>
    <xf numFmtId="167" fontId="0" fillId="0" borderId="3" xfId="1" applyNumberFormat="1" applyFont="1" applyBorder="1"/>
    <xf numFmtId="167" fontId="0" fillId="0" borderId="0" xfId="1" applyNumberFormat="1" applyFont="1" applyBorder="1"/>
    <xf numFmtId="167" fontId="7" fillId="0" borderId="0" xfId="1" applyNumberFormat="1" applyFont="1" applyBorder="1"/>
    <xf numFmtId="167" fontId="7" fillId="0" borderId="6" xfId="1" applyNumberFormat="1" applyFont="1" applyBorder="1"/>
    <xf numFmtId="167" fontId="1" fillId="2" borderId="4" xfId="1" applyNumberFormat="1" applyFont="1" applyFill="1" applyBorder="1"/>
    <xf numFmtId="167" fontId="1" fillId="2" borderId="1" xfId="1" applyNumberFormat="1" applyFont="1" applyFill="1" applyBorder="1"/>
    <xf numFmtId="167" fontId="8" fillId="5" borderId="1" xfId="1" applyNumberFormat="1" applyFont="1" applyFill="1" applyBorder="1"/>
    <xf numFmtId="167" fontId="8" fillId="5" borderId="7" xfId="1" applyNumberFormat="1" applyFont="1" applyFill="1" applyBorder="1"/>
    <xf numFmtId="167" fontId="1" fillId="2" borderId="2" xfId="1" applyNumberFormat="1" applyFont="1" applyFill="1" applyBorder="1"/>
    <xf numFmtId="167" fontId="1" fillId="2" borderId="11" xfId="1" applyNumberFormat="1" applyFont="1" applyFill="1" applyBorder="1"/>
    <xf numFmtId="167" fontId="8" fillId="5" borderId="11" xfId="1" applyNumberFormat="1" applyFont="1" applyFill="1" applyBorder="1"/>
    <xf numFmtId="167" fontId="8" fillId="5" borderId="5" xfId="1" applyNumberFormat="1" applyFont="1" applyFill="1" applyBorder="1"/>
    <xf numFmtId="0" fontId="0" fillId="0" borderId="9" xfId="0" applyBorder="1"/>
    <xf numFmtId="43" fontId="0" fillId="0" borderId="8" xfId="1" applyFont="1" applyFill="1" applyBorder="1"/>
    <xf numFmtId="43" fontId="0" fillId="0" borderId="0" xfId="1" applyFont="1" applyFill="1" applyBorder="1"/>
    <xf numFmtId="43" fontId="0" fillId="0" borderId="6" xfId="1" applyFont="1" applyFill="1" applyBorder="1"/>
    <xf numFmtId="43" fontId="1" fillId="0" borderId="6" xfId="1" applyFont="1" applyFill="1" applyBorder="1"/>
    <xf numFmtId="0" fontId="0" fillId="0" borderId="11" xfId="0" applyBorder="1"/>
    <xf numFmtId="0" fontId="0" fillId="0" borderId="5" xfId="0" applyBorder="1"/>
    <xf numFmtId="0" fontId="0" fillId="0" borderId="3" xfId="0" applyBorder="1" applyAlignment="1">
      <alignment horizontal="left" indent="1"/>
    </xf>
    <xf numFmtId="0" fontId="6" fillId="0" borderId="3" xfId="1" applyNumberFormat="1" applyFont="1" applyFill="1" applyBorder="1" applyAlignment="1">
      <alignment horizontal="left" indent="1"/>
    </xf>
    <xf numFmtId="0" fontId="1" fillId="0" borderId="6" xfId="0" applyFont="1" applyBorder="1"/>
    <xf numFmtId="0" fontId="1" fillId="3" borderId="7" xfId="0" applyFont="1" applyFill="1" applyBorder="1"/>
    <xf numFmtId="0" fontId="0" fillId="0" borderId="2" xfId="0" applyBorder="1" applyAlignment="1">
      <alignment horizontal="left" indent="1"/>
    </xf>
    <xf numFmtId="10" fontId="6" fillId="0" borderId="0" xfId="2" applyNumberFormat="1" applyFont="1" applyFill="1" applyBorder="1"/>
    <xf numFmtId="2" fontId="6" fillId="0" borderId="0" xfId="1" applyNumberFormat="1" applyFont="1" applyFill="1" applyBorder="1"/>
    <xf numFmtId="168" fontId="0" fillId="0" borderId="0" xfId="0" applyNumberFormat="1"/>
    <xf numFmtId="168" fontId="0" fillId="0" borderId="0" xfId="1" applyNumberFormat="1" applyFont="1" applyFill="1" applyBorder="1"/>
    <xf numFmtId="169" fontId="0" fillId="0" borderId="0" xfId="0" applyNumberFormat="1"/>
    <xf numFmtId="170" fontId="0" fillId="0" borderId="0" xfId="0" applyNumberFormat="1"/>
    <xf numFmtId="171" fontId="1" fillId="0" borderId="0" xfId="0" applyNumberFormat="1" applyFont="1"/>
    <xf numFmtId="171" fontId="1" fillId="0" borderId="0" xfId="1" applyNumberFormat="1" applyFont="1" applyFill="1" applyBorder="1"/>
    <xf numFmtId="167" fontId="1" fillId="0" borderId="0" xfId="1" applyNumberFormat="1" applyFont="1" applyFill="1" applyBorder="1"/>
    <xf numFmtId="0" fontId="0" fillId="2" borderId="1" xfId="0" applyFill="1" applyBorder="1"/>
    <xf numFmtId="10" fontId="0" fillId="0" borderId="0" xfId="2" applyNumberFormat="1" applyFont="1" applyBorder="1"/>
    <xf numFmtId="0" fontId="0" fillId="0" borderId="2" xfId="0" applyBorder="1"/>
    <xf numFmtId="10" fontId="1" fillId="0" borderId="6" xfId="2" applyNumberFormat="1" applyFont="1" applyBorder="1"/>
    <xf numFmtId="10" fontId="1" fillId="0" borderId="17" xfId="2" applyNumberFormat="1" applyFont="1" applyBorder="1"/>
    <xf numFmtId="172" fontId="0" fillId="0" borderId="0" xfId="0" applyNumberFormat="1"/>
    <xf numFmtId="0" fontId="1" fillId="5" borderId="1" xfId="0" applyFont="1" applyFill="1" applyBorder="1"/>
    <xf numFmtId="43" fontId="7" fillId="0" borderId="5" xfId="1" applyFont="1" applyFill="1" applyBorder="1"/>
    <xf numFmtId="0" fontId="0" fillId="2" borderId="7" xfId="0" applyFill="1" applyBorder="1"/>
    <xf numFmtId="167" fontId="1" fillId="2" borderId="0" xfId="1" applyNumberFormat="1" applyFont="1" applyFill="1"/>
    <xf numFmtId="10" fontId="0" fillId="0" borderId="0" xfId="2" applyNumberFormat="1" applyFont="1"/>
    <xf numFmtId="10" fontId="0" fillId="0" borderId="6" xfId="2" applyNumberFormat="1" applyFont="1" applyBorder="1"/>
    <xf numFmtId="167" fontId="8" fillId="5" borderId="0" xfId="1" applyNumberFormat="1" applyFont="1" applyFill="1"/>
    <xf numFmtId="167" fontId="8" fillId="5" borderId="6" xfId="1" applyNumberFormat="1" applyFont="1" applyFill="1" applyBorder="1"/>
    <xf numFmtId="10" fontId="7" fillId="0" borderId="6" xfId="2" applyNumberFormat="1" applyFont="1" applyBorder="1"/>
    <xf numFmtId="2" fontId="1" fillId="2" borderId="4" xfId="1" applyNumberFormat="1" applyFont="1" applyFill="1" applyBorder="1"/>
    <xf numFmtId="2" fontId="1" fillId="2" borderId="1" xfId="1" applyNumberFormat="1" applyFont="1" applyFill="1" applyBorder="1"/>
    <xf numFmtId="2" fontId="8" fillId="5" borderId="1" xfId="1" applyNumberFormat="1" applyFont="1" applyFill="1" applyBorder="1"/>
    <xf numFmtId="2" fontId="8" fillId="5" borderId="7" xfId="1" applyNumberFormat="1" applyFont="1" applyFill="1" applyBorder="1"/>
    <xf numFmtId="2" fontId="1" fillId="2" borderId="1" xfId="0" applyNumberFormat="1" applyFont="1" applyFill="1" applyBorder="1"/>
    <xf numFmtId="2" fontId="8" fillId="5" borderId="1" xfId="0" applyNumberFormat="1" applyFont="1" applyFill="1" applyBorder="1"/>
    <xf numFmtId="2" fontId="8" fillId="5" borderId="7" xfId="0" applyNumberFormat="1" applyFont="1" applyFill="1" applyBorder="1"/>
    <xf numFmtId="0" fontId="0" fillId="0" borderId="0" xfId="0" applyAlignment="1">
      <alignment horizontal="right"/>
    </xf>
    <xf numFmtId="0" fontId="0" fillId="0" borderId="6" xfId="0" applyBorder="1" applyAlignment="1">
      <alignment horizontal="right"/>
    </xf>
    <xf numFmtId="168" fontId="0" fillId="0" borderId="11" xfId="2" applyNumberFormat="1" applyFont="1" applyBorder="1"/>
    <xf numFmtId="173" fontId="6" fillId="0" borderId="0" xfId="2" applyNumberFormat="1" applyFont="1" applyFill="1" applyBorder="1"/>
    <xf numFmtId="171" fontId="1" fillId="0" borderId="6" xfId="0" applyNumberFormat="1" applyFont="1" applyBorder="1"/>
    <xf numFmtId="2" fontId="1" fillId="0" borderId="6" xfId="0" applyNumberFormat="1" applyFont="1" applyBorder="1"/>
    <xf numFmtId="168" fontId="1" fillId="0" borderId="6" xfId="0" applyNumberFormat="1" applyFont="1" applyBorder="1"/>
    <xf numFmtId="168" fontId="1" fillId="0" borderId="5" xfId="0" applyNumberFormat="1" applyFont="1" applyBorder="1"/>
    <xf numFmtId="171" fontId="1" fillId="0" borderId="17" xfId="0" applyNumberFormat="1" applyFont="1" applyBorder="1"/>
    <xf numFmtId="2" fontId="1" fillId="0" borderId="17" xfId="0" applyNumberFormat="1" applyFont="1" applyBorder="1"/>
    <xf numFmtId="168" fontId="1" fillId="0" borderId="17" xfId="0" applyNumberFormat="1" applyFont="1" applyBorder="1"/>
    <xf numFmtId="168" fontId="1" fillId="0" borderId="20" xfId="0" applyNumberFormat="1" applyFont="1" applyBorder="1"/>
    <xf numFmtId="0" fontId="0" fillId="0" borderId="19" xfId="0" applyBorder="1"/>
    <xf numFmtId="0" fontId="12" fillId="6" borderId="19" xfId="0" applyFont="1" applyFill="1" applyBorder="1" applyAlignment="1">
      <alignment horizontal="center"/>
    </xf>
    <xf numFmtId="0" fontId="12" fillId="6" borderId="10" xfId="0" applyFont="1" applyFill="1" applyBorder="1" applyAlignment="1">
      <alignment horizontal="center"/>
    </xf>
    <xf numFmtId="0" fontId="12" fillId="6" borderId="12" xfId="0" applyFont="1" applyFill="1" applyBorder="1" applyAlignment="1">
      <alignment horizontal="center"/>
    </xf>
    <xf numFmtId="43" fontId="0" fillId="2" borderId="1" xfId="1" applyFont="1" applyFill="1" applyBorder="1"/>
    <xf numFmtId="43" fontId="0" fillId="2" borderId="7" xfId="1" applyFont="1" applyFill="1" applyBorder="1"/>
    <xf numFmtId="0" fontId="0" fillId="2" borderId="4" xfId="0" applyFill="1" applyBorder="1"/>
    <xf numFmtId="171" fontId="1" fillId="2" borderId="12" xfId="0" applyNumberFormat="1" applyFont="1" applyFill="1" applyBorder="1"/>
    <xf numFmtId="171" fontId="1" fillId="2" borderId="7" xfId="0" applyNumberFormat="1" applyFont="1" applyFill="1" applyBorder="1"/>
    <xf numFmtId="0" fontId="1" fillId="2" borderId="4" xfId="1" applyNumberFormat="1" applyFont="1" applyFill="1" applyBorder="1" applyAlignment="1"/>
    <xf numFmtId="0" fontId="1" fillId="5" borderId="4" xfId="0" applyFont="1" applyFill="1" applyBorder="1"/>
    <xf numFmtId="0" fontId="1" fillId="5" borderId="7" xfId="0" applyFont="1" applyFill="1" applyBorder="1" applyAlignment="1">
      <alignment horizontal="right"/>
    </xf>
    <xf numFmtId="0" fontId="1" fillId="0" borderId="0" xfId="0" applyFont="1" applyAlignment="1">
      <alignment horizontal="right"/>
    </xf>
    <xf numFmtId="169" fontId="1" fillId="0" borderId="17" xfId="0" applyNumberFormat="1" applyFont="1" applyBorder="1"/>
    <xf numFmtId="169" fontId="1" fillId="0" borderId="6" xfId="0" applyNumberFormat="1" applyFont="1" applyBorder="1"/>
    <xf numFmtId="169" fontId="0" fillId="0" borderId="21" xfId="0" applyNumberFormat="1" applyBorder="1"/>
    <xf numFmtId="0" fontId="0" fillId="0" borderId="5" xfId="0" applyBorder="1" applyAlignment="1">
      <alignment horizontal="right"/>
    </xf>
    <xf numFmtId="43" fontId="0" fillId="0" borderId="0" xfId="1" applyFont="1"/>
    <xf numFmtId="43" fontId="6" fillId="0" borderId="0" xfId="1" applyFont="1" applyFill="1" applyBorder="1"/>
    <xf numFmtId="43" fontId="7" fillId="0" borderId="0" xfId="1" applyFont="1" applyFill="1" applyBorder="1"/>
    <xf numFmtId="43" fontId="1" fillId="2" borderId="1" xfId="1" applyFont="1" applyFill="1" applyBorder="1"/>
    <xf numFmtId="0" fontId="1" fillId="0" borderId="0" xfId="0" applyFont="1" applyAlignment="1">
      <alignment horizontal="center"/>
    </xf>
    <xf numFmtId="165" fontId="1" fillId="0" borderId="0" xfId="0" applyNumberFormat="1" applyFont="1"/>
    <xf numFmtId="166" fontId="1" fillId="0" borderId="0" xfId="0" applyNumberFormat="1" applyFont="1"/>
    <xf numFmtId="165" fontId="0" fillId="0" borderId="0" xfId="0" applyNumberFormat="1"/>
    <xf numFmtId="0" fontId="0" fillId="0" borderId="17" xfId="0" applyBorder="1"/>
    <xf numFmtId="0" fontId="0" fillId="0" borderId="20" xfId="0" applyBorder="1"/>
    <xf numFmtId="0" fontId="1" fillId="0" borderId="4"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7" xfId="0" applyFont="1" applyBorder="1" applyAlignment="1">
      <alignment horizontal="center" vertical="center"/>
    </xf>
    <xf numFmtId="0" fontId="1" fillId="0" borderId="7"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7" xfId="0" applyFont="1" applyBorder="1" applyAlignment="1">
      <alignment horizontal="center" vertical="center"/>
    </xf>
    <xf numFmtId="0" fontId="13" fillId="3" borderId="9" xfId="0" applyFont="1" applyFill="1" applyBorder="1"/>
    <xf numFmtId="0" fontId="1" fillId="3" borderId="25" xfId="0" applyFont="1" applyFill="1" applyBorder="1"/>
    <xf numFmtId="0" fontId="1" fillId="3" borderId="26" xfId="0" applyFont="1" applyFill="1" applyBorder="1" applyAlignment="1">
      <alignment horizontal="center" vertical="center" wrapText="1"/>
    </xf>
    <xf numFmtId="43" fontId="1" fillId="0" borderId="1" xfId="0" applyNumberFormat="1" applyFont="1" applyBorder="1" applyAlignment="1">
      <alignment horizontal="center" vertical="center" wrapText="1"/>
    </xf>
    <xf numFmtId="0" fontId="1" fillId="0" borderId="20" xfId="0" applyFont="1" applyBorder="1" applyAlignment="1">
      <alignment horizontal="left"/>
    </xf>
    <xf numFmtId="10" fontId="1" fillId="0" borderId="11" xfId="2" applyNumberFormat="1" applyFont="1" applyBorder="1"/>
    <xf numFmtId="10" fontId="1" fillId="0" borderId="5" xfId="2" applyNumberFormat="1" applyFont="1" applyBorder="1"/>
    <xf numFmtId="0" fontId="1" fillId="0" borderId="17" xfId="0" applyFont="1" applyBorder="1" applyAlignment="1">
      <alignment horizontal="left" wrapText="1"/>
    </xf>
    <xf numFmtId="10" fontId="1" fillId="0" borderId="0" xfId="2" applyNumberFormat="1" applyFont="1" applyBorder="1"/>
    <xf numFmtId="43" fontId="1" fillId="0" borderId="0" xfId="1" applyFont="1" applyBorder="1"/>
    <xf numFmtId="43" fontId="8" fillId="0" borderId="0" xfId="1" applyFont="1" applyBorder="1"/>
    <xf numFmtId="43" fontId="8" fillId="0" borderId="0" xfId="1" applyFont="1" applyFill="1" applyBorder="1"/>
    <xf numFmtId="10" fontId="1" fillId="0" borderId="0" xfId="2" applyNumberFormat="1" applyFont="1" applyFill="1" applyBorder="1"/>
    <xf numFmtId="10" fontId="1" fillId="0" borderId="0" xfId="0" applyNumberFormat="1" applyFont="1"/>
    <xf numFmtId="0" fontId="1" fillId="5" borderId="12" xfId="0" applyFont="1" applyFill="1" applyBorder="1" applyAlignment="1">
      <alignment horizontal="left"/>
    </xf>
    <xf numFmtId="167" fontId="0" fillId="0" borderId="6" xfId="1" applyNumberFormat="1" applyFont="1" applyBorder="1"/>
    <xf numFmtId="167" fontId="1" fillId="0" borderId="0" xfId="1" applyNumberFormat="1" applyFont="1" applyBorder="1"/>
    <xf numFmtId="167" fontId="1" fillId="0" borderId="6" xfId="1" applyNumberFormat="1" applyFont="1" applyBorder="1"/>
    <xf numFmtId="167" fontId="1" fillId="0" borderId="11" xfId="1" applyNumberFormat="1" applyFont="1" applyBorder="1"/>
    <xf numFmtId="167" fontId="1" fillId="5" borderId="1" xfId="1" applyNumberFormat="1" applyFont="1" applyFill="1" applyBorder="1"/>
    <xf numFmtId="167" fontId="1" fillId="5" borderId="7" xfId="1" applyNumberFormat="1" applyFont="1" applyFill="1" applyBorder="1"/>
    <xf numFmtId="167" fontId="0" fillId="0" borderId="0" xfId="1" applyNumberFormat="1" applyFont="1"/>
    <xf numFmtId="0" fontId="1" fillId="0" borderId="3" xfId="0" applyFont="1" applyBorder="1" applyAlignment="1">
      <alignment horizontal="center" vertical="center" wrapText="1"/>
    </xf>
    <xf numFmtId="43" fontId="0" fillId="0" borderId="3" xfId="1" applyFont="1" applyFill="1" applyBorder="1"/>
    <xf numFmtId="43" fontId="1" fillId="0" borderId="3" xfId="0" applyNumberFormat="1" applyFont="1" applyBorder="1"/>
    <xf numFmtId="43" fontId="7" fillId="0" borderId="0" xfId="1" applyFont="1"/>
    <xf numFmtId="43" fontId="8" fillId="5" borderId="1" xfId="1" applyFont="1" applyFill="1" applyBorder="1"/>
    <xf numFmtId="43" fontId="6" fillId="0" borderId="11" xfId="1" applyFont="1" applyBorder="1"/>
    <xf numFmtId="10" fontId="7" fillId="0" borderId="0" xfId="2" applyNumberFormat="1" applyFont="1" applyBorder="1"/>
    <xf numFmtId="43" fontId="7" fillId="0" borderId="11" xfId="1" applyFont="1" applyFill="1" applyBorder="1"/>
    <xf numFmtId="10" fontId="1" fillId="0" borderId="0" xfId="2" applyNumberFormat="1" applyFont="1"/>
    <xf numFmtId="10" fontId="1" fillId="0" borderId="0" xfId="1" applyNumberFormat="1" applyFont="1" applyFill="1" applyBorder="1"/>
    <xf numFmtId="167" fontId="0" fillId="0" borderId="0" xfId="1" applyNumberFormat="1" applyFont="1" applyFill="1" applyBorder="1"/>
    <xf numFmtId="10" fontId="1" fillId="0" borderId="1" xfId="2" applyNumberFormat="1" applyFont="1" applyBorder="1"/>
    <xf numFmtId="174" fontId="0" fillId="0" borderId="0" xfId="1" applyNumberFormat="1" applyFont="1" applyBorder="1"/>
    <xf numFmtId="0" fontId="1" fillId="0" borderId="9" xfId="0" applyFont="1" applyBorder="1"/>
    <xf numFmtId="0" fontId="1" fillId="0" borderId="10" xfId="0" applyFont="1" applyBorder="1"/>
    <xf numFmtId="165" fontId="1" fillId="0" borderId="8" xfId="0" applyNumberFormat="1" applyFont="1" applyBorder="1"/>
    <xf numFmtId="165" fontId="1" fillId="3" borderId="9" xfId="0" applyNumberFormat="1" applyFont="1" applyFill="1" applyBorder="1"/>
    <xf numFmtId="0" fontId="1" fillId="0" borderId="8" xfId="0" applyFont="1" applyBorder="1"/>
    <xf numFmtId="10" fontId="1" fillId="0" borderId="0" xfId="2" applyNumberFormat="1" applyFont="1" applyFill="1" applyBorder="1" applyAlignment="1"/>
    <xf numFmtId="0" fontId="1" fillId="5" borderId="4" xfId="0" applyFont="1" applyFill="1" applyBorder="1" applyAlignment="1">
      <alignment horizontal="left"/>
    </xf>
    <xf numFmtId="0" fontId="1" fillId="5" borderId="7" xfId="0" applyFont="1" applyFill="1" applyBorder="1"/>
    <xf numFmtId="10" fontId="1" fillId="5" borderId="1" xfId="2" applyNumberFormat="1" applyFont="1" applyFill="1" applyBorder="1"/>
    <xf numFmtId="0" fontId="0" fillId="5" borderId="1" xfId="0" applyFill="1" applyBorder="1"/>
    <xf numFmtId="0" fontId="0" fillId="5" borderId="7" xfId="0" applyFill="1" applyBorder="1"/>
    <xf numFmtId="0" fontId="14" fillId="0" borderId="0" xfId="0" applyFont="1" applyAlignment="1">
      <alignment horizontal="right" vertical="center"/>
    </xf>
    <xf numFmtId="0" fontId="1" fillId="0" borderId="1" xfId="0" applyFont="1" applyBorder="1"/>
    <xf numFmtId="10" fontId="1" fillId="0" borderId="1" xfId="2" applyNumberFormat="1" applyFont="1" applyFill="1" applyBorder="1"/>
    <xf numFmtId="0" fontId="1" fillId="5" borderId="9" xfId="0" applyFont="1" applyFill="1" applyBorder="1"/>
    <xf numFmtId="0" fontId="1" fillId="5" borderId="8" xfId="0" applyFont="1" applyFill="1" applyBorder="1"/>
    <xf numFmtId="0" fontId="1" fillId="5" borderId="10" xfId="0" applyFont="1" applyFill="1" applyBorder="1"/>
    <xf numFmtId="10" fontId="1" fillId="5" borderId="8" xfId="2" applyNumberFormat="1" applyFont="1" applyFill="1" applyBorder="1"/>
    <xf numFmtId="0" fontId="16" fillId="0" borderId="0" xfId="0" applyFont="1"/>
    <xf numFmtId="2" fontId="0" fillId="0" borderId="0" xfId="2" applyNumberFormat="1" applyFont="1"/>
    <xf numFmtId="0" fontId="14" fillId="0" borderId="10" xfId="0" applyFont="1" applyBorder="1" applyAlignment="1">
      <alignment horizontal="right" vertical="center"/>
    </xf>
    <xf numFmtId="10" fontId="0" fillId="0" borderId="0" xfId="2" applyNumberFormat="1" applyFont="1" applyBorder="1" applyAlignment="1">
      <alignment horizontal="right"/>
    </xf>
    <xf numFmtId="10" fontId="6" fillId="0" borderId="0" xfId="2" applyNumberFormat="1" applyFont="1" applyBorder="1" applyAlignment="1">
      <alignment horizontal="right"/>
    </xf>
    <xf numFmtId="165" fontId="1" fillId="0" borderId="3" xfId="0" applyNumberFormat="1" applyFont="1" applyBorder="1"/>
    <xf numFmtId="10" fontId="1" fillId="5" borderId="7" xfId="2" applyNumberFormat="1" applyFont="1" applyFill="1" applyBorder="1"/>
    <xf numFmtId="0" fontId="1" fillId="5" borderId="1" xfId="0" applyFont="1" applyFill="1" applyBorder="1" applyAlignment="1">
      <alignment horizontal="left"/>
    </xf>
    <xf numFmtId="43" fontId="7" fillId="0" borderId="0" xfId="1" applyFont="1" applyFill="1"/>
    <xf numFmtId="167" fontId="7" fillId="0" borderId="5" xfId="1" applyNumberFormat="1" applyFont="1" applyBorder="1"/>
    <xf numFmtId="10" fontId="0" fillId="0" borderId="6" xfId="2" applyNumberFormat="1" applyFont="1" applyFill="1" applyBorder="1"/>
    <xf numFmtId="0" fontId="0" fillId="0" borderId="2" xfId="0" applyBorder="1" applyAlignment="1">
      <alignment horizontal="right"/>
    </xf>
    <xf numFmtId="43" fontId="1" fillId="5" borderId="1" xfId="1" applyFont="1" applyFill="1" applyBorder="1"/>
    <xf numFmtId="43" fontId="0" fillId="0" borderId="0" xfId="1" applyFont="1" applyFill="1" applyBorder="1" applyAlignment="1"/>
    <xf numFmtId="43" fontId="8" fillId="5" borderId="7" xfId="1" applyFont="1" applyFill="1" applyBorder="1"/>
    <xf numFmtId="43" fontId="7" fillId="0" borderId="6" xfId="1" applyFont="1" applyBorder="1"/>
    <xf numFmtId="43" fontId="7" fillId="0" borderId="11" xfId="1" applyFont="1" applyBorder="1"/>
    <xf numFmtId="43" fontId="7" fillId="0" borderId="5" xfId="1" applyFont="1" applyBorder="1"/>
    <xf numFmtId="43" fontId="8" fillId="5" borderId="11" xfId="1" applyFont="1" applyFill="1" applyBorder="1"/>
    <xf numFmtId="43" fontId="8" fillId="5" borderId="5" xfId="1" applyFont="1" applyFill="1" applyBorder="1"/>
    <xf numFmtId="10" fontId="1" fillId="7" borderId="19" xfId="2" applyNumberFormat="1" applyFont="1" applyFill="1" applyBorder="1"/>
    <xf numFmtId="10" fontId="0" fillId="0" borderId="11" xfId="2" applyNumberFormat="1" applyFont="1" applyBorder="1" applyAlignment="1">
      <alignment vertical="top"/>
    </xf>
    <xf numFmtId="10" fontId="0" fillId="0" borderId="5" xfId="2" applyNumberFormat="1" applyFont="1" applyBorder="1" applyAlignment="1">
      <alignment vertical="top"/>
    </xf>
    <xf numFmtId="10" fontId="7" fillId="0" borderId="11" xfId="2" applyNumberFormat="1" applyFont="1" applyFill="1" applyBorder="1" applyAlignment="1">
      <alignment vertical="top"/>
    </xf>
    <xf numFmtId="10" fontId="7" fillId="0" borderId="5" xfId="2" applyNumberFormat="1" applyFont="1" applyFill="1" applyBorder="1" applyAlignment="1">
      <alignment vertical="top"/>
    </xf>
    <xf numFmtId="10" fontId="0" fillId="0" borderId="11" xfId="2" applyNumberFormat="1" applyFont="1" applyBorder="1" applyAlignment="1">
      <alignment horizontal="right" vertical="top"/>
    </xf>
    <xf numFmtId="10" fontId="1" fillId="7" borderId="17" xfId="2" applyNumberFormat="1" applyFont="1" applyFill="1" applyBorder="1"/>
    <xf numFmtId="0" fontId="4" fillId="0" borderId="0" xfId="0" applyFont="1" applyAlignment="1">
      <alignment vertical="top"/>
    </xf>
    <xf numFmtId="0" fontId="19" fillId="0" borderId="0" xfId="0" applyFont="1" applyAlignment="1">
      <alignment vertical="top"/>
    </xf>
    <xf numFmtId="167" fontId="0" fillId="0" borderId="0" xfId="0" applyNumberFormat="1"/>
    <xf numFmtId="0" fontId="13" fillId="0" borderId="0" xfId="0" applyFont="1"/>
    <xf numFmtId="167" fontId="1" fillId="5" borderId="4" xfId="1" applyNumberFormat="1" applyFont="1" applyFill="1" applyBorder="1"/>
    <xf numFmtId="167" fontId="1" fillId="5" borderId="1" xfId="0" applyNumberFormat="1" applyFont="1" applyFill="1" applyBorder="1"/>
    <xf numFmtId="0" fontId="1" fillId="6" borderId="4" xfId="0" applyFont="1" applyFill="1" applyBorder="1" applyAlignment="1">
      <alignment horizontal="center"/>
    </xf>
    <xf numFmtId="0" fontId="1" fillId="0" borderId="9" xfId="0" applyFont="1" applyBorder="1" applyAlignment="1">
      <alignment horizontal="left"/>
    </xf>
    <xf numFmtId="167" fontId="0" fillId="0" borderId="3" xfId="0" applyNumberFormat="1" applyBorder="1"/>
    <xf numFmtId="167" fontId="0" fillId="0" borderId="6" xfId="0" applyNumberFormat="1" applyBorder="1"/>
    <xf numFmtId="10" fontId="1" fillId="0" borderId="3" xfId="0" applyNumberFormat="1" applyFont="1" applyBorder="1"/>
    <xf numFmtId="43" fontId="1" fillId="0" borderId="6" xfId="1" applyFont="1" applyBorder="1"/>
    <xf numFmtId="0" fontId="1" fillId="0" borderId="0" xfId="0" applyFont="1" applyAlignment="1">
      <alignment horizontal="center" vertical="center" wrapText="1"/>
    </xf>
    <xf numFmtId="0" fontId="13" fillId="0" borderId="3" xfId="0" applyFont="1" applyBorder="1"/>
    <xf numFmtId="167" fontId="0" fillId="0" borderId="3" xfId="1" applyNumberFormat="1" applyFont="1" applyFill="1" applyBorder="1"/>
    <xf numFmtId="10" fontId="1" fillId="0" borderId="3" xfId="2" applyNumberFormat="1" applyFont="1" applyFill="1" applyBorder="1"/>
    <xf numFmtId="167" fontId="1" fillId="0" borderId="3" xfId="1" applyNumberFormat="1" applyFont="1" applyFill="1" applyBorder="1"/>
    <xf numFmtId="2" fontId="1" fillId="0" borderId="0" xfId="2" applyNumberFormat="1" applyFont="1" applyBorder="1"/>
    <xf numFmtId="0" fontId="0" fillId="0" borderId="0" xfId="1" applyNumberFormat="1" applyFont="1" applyBorder="1"/>
    <xf numFmtId="167" fontId="1" fillId="0" borderId="0" xfId="1" applyNumberFormat="1" applyFont="1"/>
    <xf numFmtId="2" fontId="1" fillId="0" borderId="0" xfId="0" applyNumberFormat="1" applyFont="1"/>
    <xf numFmtId="167" fontId="1" fillId="0" borderId="0" xfId="0" applyNumberFormat="1" applyFont="1"/>
    <xf numFmtId="43" fontId="1" fillId="0" borderId="0" xfId="1" applyFont="1" applyBorder="1" applyAlignment="1">
      <alignment horizontal="center"/>
    </xf>
    <xf numFmtId="0" fontId="0" fillId="0" borderId="2" xfId="0" applyBorder="1" applyAlignment="1">
      <alignment vertical="top"/>
    </xf>
    <xf numFmtId="0" fontId="0" fillId="0" borderId="11" xfId="0" applyBorder="1" applyAlignment="1">
      <alignment vertical="top"/>
    </xf>
    <xf numFmtId="0" fontId="0" fillId="0" borderId="5" xfId="0" applyBorder="1" applyAlignment="1">
      <alignment vertical="top"/>
    </xf>
    <xf numFmtId="167" fontId="7" fillId="0" borderId="0" xfId="1" applyNumberFormat="1" applyFont="1" applyFill="1" applyBorder="1"/>
    <xf numFmtId="167" fontId="8" fillId="0" borderId="0" xfId="1" applyNumberFormat="1" applyFont="1" applyFill="1" applyBorder="1"/>
    <xf numFmtId="167" fontId="7" fillId="0" borderId="6" xfId="1" applyNumberFormat="1" applyFont="1" applyFill="1" applyBorder="1"/>
    <xf numFmtId="167" fontId="8" fillId="0" borderId="6" xfId="1" applyNumberFormat="1" applyFont="1" applyFill="1" applyBorder="1"/>
    <xf numFmtId="43" fontId="1" fillId="0" borderId="0" xfId="0" applyNumberFormat="1" applyFont="1"/>
    <xf numFmtId="43" fontId="20" fillId="0" borderId="0" xfId="0" applyNumberFormat="1" applyFont="1"/>
    <xf numFmtId="43" fontId="0" fillId="0" borderId="7" xfId="0" applyNumberFormat="1" applyBorder="1"/>
    <xf numFmtId="167" fontId="6" fillId="0" borderId="0" xfId="1" applyNumberFormat="1" applyFont="1" applyFill="1" applyBorder="1"/>
    <xf numFmtId="167" fontId="0" fillId="0" borderId="8" xfId="1" applyNumberFormat="1" applyFont="1" applyBorder="1"/>
    <xf numFmtId="0" fontId="1" fillId="0" borderId="4" xfId="0" applyFont="1" applyBorder="1"/>
    <xf numFmtId="0" fontId="1" fillId="0" borderId="7" xfId="0" applyFont="1" applyBorder="1"/>
    <xf numFmtId="167" fontId="1" fillId="0" borderId="1" xfId="0" applyNumberFormat="1" applyFont="1" applyBorder="1"/>
    <xf numFmtId="10" fontId="0" fillId="0" borderId="11" xfId="2" applyNumberFormat="1" applyFont="1" applyBorder="1"/>
    <xf numFmtId="10" fontId="7" fillId="0" borderId="2" xfId="2" applyNumberFormat="1" applyFont="1" applyFill="1" applyBorder="1"/>
    <xf numFmtId="10" fontId="7" fillId="0" borderId="11" xfId="2" applyNumberFormat="1" applyFont="1" applyFill="1" applyBorder="1"/>
    <xf numFmtId="10" fontId="7" fillId="0" borderId="5" xfId="2" applyNumberFormat="1" applyFont="1" applyFill="1" applyBorder="1"/>
    <xf numFmtId="167" fontId="8" fillId="0" borderId="1" xfId="0" applyNumberFormat="1" applyFont="1" applyBorder="1"/>
    <xf numFmtId="167" fontId="8" fillId="0" borderId="7" xfId="0" applyNumberFormat="1" applyFont="1" applyBorder="1"/>
    <xf numFmtId="167" fontId="7" fillId="0" borderId="0" xfId="0" applyNumberFormat="1" applyFont="1"/>
    <xf numFmtId="167" fontId="7" fillId="0" borderId="6" xfId="0" applyNumberFormat="1" applyFont="1" applyBorder="1"/>
    <xf numFmtId="167" fontId="7" fillId="0" borderId="8" xfId="1" applyNumberFormat="1" applyFont="1" applyBorder="1"/>
    <xf numFmtId="167" fontId="7" fillId="0" borderId="10" xfId="1" applyNumberFormat="1" applyFont="1" applyBorder="1"/>
    <xf numFmtId="0" fontId="1" fillId="0" borderId="17" xfId="0" applyFont="1" applyBorder="1"/>
    <xf numFmtId="0" fontId="1" fillId="0" borderId="20" xfId="0" applyFont="1" applyBorder="1"/>
    <xf numFmtId="43" fontId="8" fillId="0" borderId="1" xfId="1" applyFont="1" applyBorder="1"/>
    <xf numFmtId="43" fontId="8" fillId="0" borderId="7" xfId="1" applyFont="1" applyBorder="1"/>
    <xf numFmtId="0" fontId="1" fillId="0" borderId="4" xfId="0" applyFont="1" applyBorder="1" applyAlignment="1">
      <alignment horizontal="right"/>
    </xf>
    <xf numFmtId="0" fontId="1" fillId="0" borderId="7" xfId="0" applyFont="1" applyBorder="1" applyAlignment="1">
      <alignment horizontal="right"/>
    </xf>
    <xf numFmtId="167" fontId="0" fillId="0" borderId="17" xfId="0" applyNumberFormat="1" applyBorder="1"/>
    <xf numFmtId="43" fontId="0" fillId="0" borderId="0" xfId="1" applyFont="1" applyFill="1"/>
    <xf numFmtId="10" fontId="6" fillId="0" borderId="0" xfId="2" applyNumberFormat="1" applyFont="1" applyFill="1" applyBorder="1" applyAlignment="1">
      <alignment horizontal="right"/>
    </xf>
    <xf numFmtId="168" fontId="6" fillId="0" borderId="0" xfId="2" applyNumberFormat="1" applyFont="1" applyFill="1" applyBorder="1" applyAlignment="1">
      <alignment horizontal="right"/>
    </xf>
    <xf numFmtId="43" fontId="7" fillId="0" borderId="0" xfId="0" applyNumberFormat="1" applyFont="1"/>
    <xf numFmtId="0" fontId="0" fillId="0" borderId="3" xfId="0" applyBorder="1" applyAlignment="1">
      <alignment vertical="center"/>
    </xf>
    <xf numFmtId="0" fontId="0" fillId="0" borderId="2" xfId="0" applyBorder="1" applyAlignment="1">
      <alignment vertical="center"/>
    </xf>
    <xf numFmtId="0" fontId="22" fillId="0" borderId="0" xfId="0" applyFont="1" applyAlignment="1">
      <alignment horizontal="right"/>
    </xf>
    <xf numFmtId="10" fontId="0" fillId="0" borderId="2" xfId="0" applyNumberFormat="1" applyBorder="1" applyAlignment="1">
      <alignment horizontal="left"/>
    </xf>
    <xf numFmtId="10" fontId="0" fillId="0" borderId="17" xfId="2" applyNumberFormat="1" applyFont="1" applyBorder="1" applyAlignment="1"/>
    <xf numFmtId="9" fontId="0" fillId="0" borderId="0" xfId="2" applyFont="1"/>
    <xf numFmtId="10" fontId="0" fillId="0" borderId="3" xfId="2" applyNumberFormat="1" applyFont="1" applyFill="1" applyBorder="1" applyAlignment="1"/>
    <xf numFmtId="10" fontId="0" fillId="0" borderId="12" xfId="2" applyNumberFormat="1" applyFont="1" applyBorder="1" applyAlignment="1"/>
    <xf numFmtId="0" fontId="0" fillId="0" borderId="0" xfId="0" applyAlignment="1">
      <alignment horizontal="left" indent="1"/>
    </xf>
    <xf numFmtId="10" fontId="0" fillId="0" borderId="17" xfId="2" applyNumberFormat="1" applyFont="1" applyBorder="1"/>
    <xf numFmtId="10" fontId="0" fillId="0" borderId="12" xfId="2" applyNumberFormat="1" applyFont="1" applyBorder="1"/>
    <xf numFmtId="176" fontId="0" fillId="0" borderId="9" xfId="0" applyNumberFormat="1" applyBorder="1" applyAlignment="1">
      <alignment horizontal="right"/>
    </xf>
    <xf numFmtId="176" fontId="0" fillId="0" borderId="3" xfId="0" applyNumberFormat="1" applyBorder="1" applyAlignment="1">
      <alignment horizontal="right"/>
    </xf>
    <xf numFmtId="168" fontId="0" fillId="0" borderId="10" xfId="0" applyNumberFormat="1" applyBorder="1"/>
    <xf numFmtId="168" fontId="0" fillId="0" borderId="6" xfId="0" applyNumberFormat="1" applyBorder="1"/>
    <xf numFmtId="0" fontId="1" fillId="4" borderId="1" xfId="0" applyFont="1" applyFill="1" applyBorder="1"/>
    <xf numFmtId="0" fontId="1" fillId="4" borderId="7" xfId="0" applyFont="1" applyFill="1" applyBorder="1"/>
    <xf numFmtId="167" fontId="0" fillId="5" borderId="19" xfId="1" applyNumberFormat="1" applyFont="1" applyFill="1" applyBorder="1" applyAlignment="1"/>
    <xf numFmtId="167" fontId="6" fillId="5" borderId="17" xfId="1" applyNumberFormat="1" applyFont="1" applyFill="1" applyBorder="1" applyAlignment="1"/>
    <xf numFmtId="167" fontId="0" fillId="5" borderId="17" xfId="1" applyNumberFormat="1" applyFont="1" applyFill="1" applyBorder="1" applyAlignment="1"/>
    <xf numFmtId="10" fontId="6" fillId="0" borderId="17" xfId="2" applyNumberFormat="1" applyFont="1" applyBorder="1"/>
    <xf numFmtId="0" fontId="4" fillId="0" borderId="16" xfId="0" applyFont="1" applyBorder="1" applyAlignment="1">
      <alignment vertical="top"/>
    </xf>
    <xf numFmtId="43" fontId="0" fillId="0" borderId="9" xfId="1" applyFont="1" applyFill="1" applyBorder="1"/>
    <xf numFmtId="165" fontId="1" fillId="3" borderId="3" xfId="0" applyNumberFormat="1" applyFont="1" applyFill="1" applyBorder="1"/>
    <xf numFmtId="165" fontId="1" fillId="3" borderId="0" xfId="0" applyNumberFormat="1" applyFont="1" applyFill="1"/>
    <xf numFmtId="166" fontId="1" fillId="4" borderId="0" xfId="0" applyNumberFormat="1" applyFont="1" applyFill="1"/>
    <xf numFmtId="166" fontId="1" fillId="4" borderId="6" xfId="0" applyNumberFormat="1" applyFont="1" applyFill="1" applyBorder="1"/>
    <xf numFmtId="43" fontId="0" fillId="0" borderId="10" xfId="1" applyFont="1" applyFill="1" applyBorder="1"/>
    <xf numFmtId="10" fontId="0" fillId="2" borderId="3" xfId="2" applyNumberFormat="1" applyFont="1" applyFill="1" applyBorder="1"/>
    <xf numFmtId="10" fontId="0" fillId="2" borderId="0" xfId="2" applyNumberFormat="1" applyFont="1" applyFill="1" applyBorder="1"/>
    <xf numFmtId="10" fontId="1" fillId="2" borderId="0" xfId="2" applyNumberFormat="1" applyFont="1" applyFill="1" applyBorder="1"/>
    <xf numFmtId="10" fontId="7" fillId="5" borderId="0" xfId="2" applyNumberFormat="1" applyFont="1" applyFill="1" applyBorder="1"/>
    <xf numFmtId="10" fontId="7" fillId="5" borderId="6" xfId="2" applyNumberFormat="1" applyFont="1" applyFill="1" applyBorder="1"/>
    <xf numFmtId="10" fontId="8" fillId="5" borderId="0" xfId="2" applyNumberFormat="1" applyFont="1" applyFill="1" applyBorder="1"/>
    <xf numFmtId="10" fontId="8" fillId="5" borderId="6" xfId="2" applyNumberFormat="1" applyFont="1" applyFill="1" applyBorder="1"/>
    <xf numFmtId="10" fontId="0" fillId="5" borderId="0" xfId="2" applyNumberFormat="1" applyFont="1" applyFill="1" applyBorder="1"/>
    <xf numFmtId="10" fontId="0" fillId="5" borderId="6" xfId="2" applyNumberFormat="1" applyFont="1" applyFill="1" applyBorder="1"/>
    <xf numFmtId="10" fontId="23" fillId="2" borderId="4" xfId="2" applyNumberFormat="1" applyFont="1" applyFill="1" applyBorder="1"/>
    <xf numFmtId="10" fontId="23" fillId="2" borderId="1" xfId="2" applyNumberFormat="1" applyFont="1" applyFill="1" applyBorder="1"/>
    <xf numFmtId="10" fontId="23" fillId="5" borderId="1" xfId="2" applyNumberFormat="1" applyFont="1" applyFill="1" applyBorder="1"/>
    <xf numFmtId="10" fontId="23" fillId="5" borderId="7" xfId="2" applyNumberFormat="1" applyFont="1" applyFill="1" applyBorder="1"/>
    <xf numFmtId="10" fontId="6" fillId="2" borderId="4" xfId="2" applyNumberFormat="1" applyFont="1" applyFill="1" applyBorder="1"/>
    <xf numFmtId="10" fontId="6" fillId="2" borderId="1" xfId="2" applyNumberFormat="1" applyFont="1" applyFill="1" applyBorder="1"/>
    <xf numFmtId="10" fontId="7" fillId="5" borderId="1" xfId="2" applyNumberFormat="1" applyFont="1" applyFill="1" applyBorder="1"/>
    <xf numFmtId="10" fontId="7" fillId="5" borderId="7" xfId="2" applyNumberFormat="1" applyFont="1" applyFill="1" applyBorder="1"/>
    <xf numFmtId="0" fontId="12" fillId="0" borderId="3" xfId="0" applyFont="1" applyBorder="1" applyAlignment="1">
      <alignment horizontal="center"/>
    </xf>
    <xf numFmtId="0" fontId="0" fillId="2" borderId="0" xfId="0" applyFill="1"/>
    <xf numFmtId="43" fontId="0" fillId="2" borderId="0" xfId="1" applyFont="1" applyFill="1" applyBorder="1"/>
    <xf numFmtId="43" fontId="0" fillId="2" borderId="0" xfId="1" applyFont="1" applyFill="1"/>
    <xf numFmtId="43" fontId="7" fillId="5" borderId="0" xfId="1" applyFont="1" applyFill="1" applyBorder="1"/>
    <xf numFmtId="10" fontId="0" fillId="2" borderId="0" xfId="2" applyNumberFormat="1" applyFont="1" applyFill="1"/>
    <xf numFmtId="10" fontId="6" fillId="2" borderId="0" xfId="2" applyNumberFormat="1" applyFont="1" applyFill="1" applyBorder="1"/>
    <xf numFmtId="10" fontId="7" fillId="5" borderId="0" xfId="2" applyNumberFormat="1" applyFont="1" applyFill="1"/>
    <xf numFmtId="0" fontId="17" fillId="0" borderId="0" xfId="0" applyFont="1"/>
    <xf numFmtId="177" fontId="0" fillId="2" borderId="3" xfId="2" applyNumberFormat="1" applyFont="1" applyFill="1" applyBorder="1" applyAlignment="1">
      <alignment horizontal="right"/>
    </xf>
    <xf numFmtId="177" fontId="0" fillId="2" borderId="4" xfId="2" applyNumberFormat="1" applyFont="1" applyFill="1" applyBorder="1" applyAlignment="1">
      <alignment horizontal="right"/>
    </xf>
    <xf numFmtId="177" fontId="0" fillId="2" borderId="0" xfId="2" applyNumberFormat="1" applyFont="1" applyFill="1" applyBorder="1"/>
    <xf numFmtId="177" fontId="0" fillId="5" borderId="0" xfId="2" applyNumberFormat="1" applyFont="1" applyFill="1" applyBorder="1"/>
    <xf numFmtId="177" fontId="0" fillId="5" borderId="6" xfId="2" applyNumberFormat="1" applyFont="1" applyFill="1" applyBorder="1"/>
    <xf numFmtId="177" fontId="7" fillId="5" borderId="0" xfId="2" applyNumberFormat="1" applyFont="1" applyFill="1" applyBorder="1"/>
    <xf numFmtId="177" fontId="7" fillId="5" borderId="6" xfId="2" applyNumberFormat="1" applyFont="1" applyFill="1" applyBorder="1"/>
    <xf numFmtId="10" fontId="0" fillId="2" borderId="0" xfId="2" applyNumberFormat="1" applyFont="1" applyFill="1" applyAlignment="1">
      <alignment horizontal="right"/>
    </xf>
    <xf numFmtId="10" fontId="0" fillId="2" borderId="1" xfId="2" applyNumberFormat="1" applyFont="1" applyFill="1" applyBorder="1" applyAlignment="1">
      <alignment horizontal="right"/>
    </xf>
    <xf numFmtId="43" fontId="0" fillId="2" borderId="0" xfId="1" applyFont="1" applyFill="1" applyAlignment="1">
      <alignment horizontal="right"/>
    </xf>
    <xf numFmtId="10" fontId="0" fillId="2" borderId="0" xfId="2" applyNumberFormat="1" applyFont="1" applyFill="1" applyBorder="1" applyAlignment="1">
      <alignment horizontal="right"/>
    </xf>
    <xf numFmtId="10" fontId="6" fillId="2" borderId="0" xfId="2" applyNumberFormat="1" applyFont="1" applyFill="1" applyBorder="1" applyAlignment="1">
      <alignment horizontal="right"/>
    </xf>
    <xf numFmtId="10" fontId="6" fillId="5" borderId="0" xfId="2" applyNumberFormat="1" applyFont="1" applyFill="1" applyBorder="1" applyAlignment="1">
      <alignment horizontal="right"/>
    </xf>
    <xf numFmtId="43" fontId="7" fillId="5" borderId="6" xfId="1" applyFont="1" applyFill="1" applyBorder="1"/>
    <xf numFmtId="10" fontId="6" fillId="5" borderId="6" xfId="2" applyNumberFormat="1" applyFont="1" applyFill="1" applyBorder="1" applyAlignment="1">
      <alignment horizontal="right"/>
    </xf>
    <xf numFmtId="43" fontId="7" fillId="0" borderId="6" xfId="1" applyFont="1" applyFill="1" applyBorder="1"/>
    <xf numFmtId="0" fontId="24" fillId="0" borderId="0" xfId="0" applyFont="1"/>
    <xf numFmtId="10" fontId="24" fillId="0" borderId="0" xfId="2" applyNumberFormat="1" applyFont="1"/>
    <xf numFmtId="10" fontId="0" fillId="0" borderId="0" xfId="2" applyNumberFormat="1" applyFont="1" applyFill="1" applyBorder="1" applyAlignment="1"/>
    <xf numFmtId="10" fontId="0" fillId="0" borderId="0" xfId="0" applyNumberFormat="1" applyAlignment="1">
      <alignment horizontal="left"/>
    </xf>
    <xf numFmtId="10" fontId="1" fillId="7" borderId="17" xfId="2" applyNumberFormat="1" applyFont="1" applyFill="1" applyBorder="1" applyAlignment="1">
      <alignment horizontal="right"/>
    </xf>
    <xf numFmtId="0" fontId="17" fillId="0" borderId="0" xfId="0" applyFont="1" applyAlignment="1">
      <alignment horizontal="center"/>
    </xf>
    <xf numFmtId="0" fontId="1" fillId="4" borderId="4" xfId="0" applyFont="1" applyFill="1" applyBorder="1" applyAlignment="1">
      <alignment horizontal="left"/>
    </xf>
    <xf numFmtId="167" fontId="11" fillId="0" borderId="0" xfId="0" applyNumberFormat="1" applyFont="1"/>
    <xf numFmtId="10" fontId="1" fillId="7" borderId="20" xfId="2" applyNumberFormat="1" applyFont="1" applyFill="1" applyBorder="1" applyAlignment="1">
      <alignment vertical="top"/>
    </xf>
    <xf numFmtId="10" fontId="1" fillId="7" borderId="17" xfId="2" applyNumberFormat="1" applyFont="1" applyFill="1" applyBorder="1" applyAlignment="1"/>
    <xf numFmtId="0" fontId="1" fillId="0" borderId="2" xfId="0" applyFont="1" applyBorder="1" applyAlignment="1">
      <alignment vertical="top"/>
    </xf>
    <xf numFmtId="0" fontId="24" fillId="0" borderId="3" xfId="0" applyFont="1" applyBorder="1"/>
    <xf numFmtId="0" fontId="24" fillId="0" borderId="6" xfId="0" applyFont="1" applyBorder="1"/>
    <xf numFmtId="167" fontId="24" fillId="0" borderId="0" xfId="1" applyNumberFormat="1" applyFont="1" applyFill="1" applyBorder="1"/>
    <xf numFmtId="167" fontId="24" fillId="0" borderId="6" xfId="1" applyNumberFormat="1" applyFont="1" applyFill="1" applyBorder="1"/>
    <xf numFmtId="0" fontId="0" fillId="0" borderId="0" xfId="0" applyAlignment="1">
      <alignment vertical="top"/>
    </xf>
    <xf numFmtId="0" fontId="0" fillId="0" borderId="6" xfId="0" applyBorder="1" applyAlignment="1">
      <alignment vertical="top"/>
    </xf>
    <xf numFmtId="0" fontId="0" fillId="0" borderId="11" xfId="0" applyBorder="1" applyAlignment="1">
      <alignment vertical="center"/>
    </xf>
    <xf numFmtId="176" fontId="0" fillId="0" borderId="0" xfId="0" applyNumberFormat="1" applyAlignment="1">
      <alignment horizontal="right"/>
    </xf>
    <xf numFmtId="0" fontId="0" fillId="0" borderId="0" xfId="0" applyAlignment="1">
      <alignment horizontal="center"/>
    </xf>
    <xf numFmtId="0" fontId="10" fillId="0" borderId="0" xfId="0" quotePrefix="1" applyFont="1"/>
    <xf numFmtId="0" fontId="10" fillId="0" borderId="0" xfId="0" applyFont="1"/>
    <xf numFmtId="168" fontId="0" fillId="0" borderId="0" xfId="2" applyNumberFormat="1" applyFont="1" applyBorder="1"/>
    <xf numFmtId="0" fontId="28" fillId="0" borderId="0" xfId="0" applyFont="1" applyAlignment="1">
      <alignment vertical="top" wrapText="1"/>
    </xf>
    <xf numFmtId="0" fontId="32" fillId="0" borderId="0" xfId="0" applyFont="1"/>
    <xf numFmtId="0" fontId="2" fillId="0" borderId="0" xfId="0" applyFont="1" applyAlignment="1">
      <alignment vertical="top" wrapText="1"/>
    </xf>
    <xf numFmtId="0" fontId="33" fillId="0" borderId="0" xfId="0" applyFont="1"/>
    <xf numFmtId="9" fontId="2" fillId="0" borderId="0" xfId="2" applyFont="1" applyFill="1" applyAlignment="1">
      <alignment vertical="top"/>
    </xf>
    <xf numFmtId="9" fontId="0" fillId="0" borderId="0" xfId="2" applyFont="1" applyFill="1" applyAlignment="1"/>
    <xf numFmtId="10" fontId="0" fillId="0" borderId="3" xfId="2" applyNumberFormat="1" applyFont="1" applyBorder="1"/>
    <xf numFmtId="10" fontId="1" fillId="5" borderId="4" xfId="2" applyNumberFormat="1" applyFont="1" applyFill="1" applyBorder="1"/>
    <xf numFmtId="175" fontId="7" fillId="0" borderId="0" xfId="1" applyNumberFormat="1" applyFont="1" applyFill="1" applyBorder="1"/>
    <xf numFmtId="175" fontId="7" fillId="0" borderId="6" xfId="1" applyNumberFormat="1" applyFont="1" applyFill="1" applyBorder="1"/>
    <xf numFmtId="43" fontId="8" fillId="0" borderId="11" xfId="1" applyFont="1" applyFill="1" applyBorder="1"/>
    <xf numFmtId="0" fontId="1" fillId="5" borderId="9" xfId="0" applyFont="1" applyFill="1" applyBorder="1" applyAlignment="1">
      <alignment horizontal="left"/>
    </xf>
    <xf numFmtId="0" fontId="1" fillId="5" borderId="8" xfId="0" applyFont="1" applyFill="1" applyBorder="1" applyAlignment="1">
      <alignment horizontal="left"/>
    </xf>
    <xf numFmtId="43" fontId="1" fillId="5" borderId="8" xfId="1" applyFont="1" applyFill="1" applyBorder="1"/>
    <xf numFmtId="0" fontId="1" fillId="5" borderId="2" xfId="0" applyFont="1" applyFill="1" applyBorder="1" applyAlignment="1">
      <alignment horizontal="left"/>
    </xf>
    <xf numFmtId="0" fontId="1" fillId="5" borderId="11" xfId="0" applyFont="1" applyFill="1" applyBorder="1" applyAlignment="1">
      <alignment horizontal="left"/>
    </xf>
    <xf numFmtId="0" fontId="1" fillId="5" borderId="5" xfId="0" applyFont="1" applyFill="1" applyBorder="1"/>
    <xf numFmtId="10" fontId="1" fillId="5" borderId="11" xfId="2" applyNumberFormat="1" applyFont="1" applyFill="1" applyBorder="1"/>
    <xf numFmtId="0" fontId="1" fillId="0" borderId="1" xfId="0" applyFont="1" applyBorder="1" applyAlignment="1">
      <alignment horizontal="left"/>
    </xf>
    <xf numFmtId="43" fontId="1" fillId="0" borderId="1" xfId="1" applyFont="1" applyFill="1" applyBorder="1"/>
    <xf numFmtId="10" fontId="1" fillId="0" borderId="8" xfId="2" applyNumberFormat="1" applyFont="1" applyFill="1" applyBorder="1"/>
    <xf numFmtId="43" fontId="0" fillId="0" borderId="0" xfId="2" applyNumberFormat="1" applyFont="1"/>
    <xf numFmtId="10" fontId="0" fillId="0" borderId="0" xfId="2" applyNumberFormat="1" applyFont="1" applyAlignment="1">
      <alignment horizontal="right"/>
    </xf>
    <xf numFmtId="167" fontId="11" fillId="5" borderId="12" xfId="0" applyNumberFormat="1" applyFont="1" applyFill="1" applyBorder="1" applyAlignment="1">
      <alignment horizontal="right"/>
    </xf>
    <xf numFmtId="0" fontId="13" fillId="0" borderId="0" xfId="0" applyFont="1" applyAlignment="1">
      <alignment vertical="center"/>
    </xf>
    <xf numFmtId="178" fontId="34" fillId="0" borderId="0" xfId="2" applyNumberFormat="1" applyFont="1" applyBorder="1" applyAlignment="1">
      <alignment vertical="center"/>
    </xf>
    <xf numFmtId="0" fontId="0" fillId="3" borderId="8" xfId="0" applyFill="1" applyBorder="1"/>
    <xf numFmtId="0" fontId="0" fillId="3" borderId="10" xfId="0" applyFill="1" applyBorder="1"/>
    <xf numFmtId="173" fontId="6" fillId="0" borderId="6" xfId="2" applyNumberFormat="1" applyFont="1" applyFill="1" applyBorder="1"/>
    <xf numFmtId="0" fontId="0" fillId="0" borderId="6" xfId="0" applyBorder="1" applyAlignment="1">
      <alignment horizontal="left"/>
    </xf>
    <xf numFmtId="2" fontId="0" fillId="0" borderId="6" xfId="0" applyNumberFormat="1" applyBorder="1"/>
    <xf numFmtId="2" fontId="6" fillId="0" borderId="6" xfId="1" applyNumberFormat="1" applyFont="1" applyFill="1" applyBorder="1"/>
    <xf numFmtId="168" fontId="0" fillId="0" borderId="6" xfId="1" applyNumberFormat="1" applyFont="1" applyFill="1" applyBorder="1"/>
    <xf numFmtId="10" fontId="6" fillId="0" borderId="6" xfId="2" applyNumberFormat="1" applyFont="1" applyFill="1" applyBorder="1"/>
    <xf numFmtId="168" fontId="0" fillId="0" borderId="6" xfId="2" applyNumberFormat="1" applyFont="1" applyBorder="1"/>
    <xf numFmtId="169" fontId="0" fillId="0" borderId="6" xfId="0" applyNumberFormat="1" applyBorder="1"/>
    <xf numFmtId="169" fontId="0" fillId="0" borderId="35" xfId="0" applyNumberFormat="1" applyBorder="1"/>
    <xf numFmtId="10" fontId="0" fillId="0" borderId="6" xfId="0" applyNumberFormat="1" applyBorder="1"/>
    <xf numFmtId="171" fontId="1" fillId="2" borderId="5" xfId="0" applyNumberFormat="1" applyFont="1" applyFill="1" applyBorder="1"/>
    <xf numFmtId="166" fontId="1" fillId="4" borderId="2" xfId="0" applyNumberFormat="1" applyFont="1" applyFill="1" applyBorder="1"/>
    <xf numFmtId="0" fontId="0" fillId="0" borderId="3" xfId="0" applyBorder="1" applyAlignment="1">
      <alignment horizontal="right"/>
    </xf>
    <xf numFmtId="43" fontId="0" fillId="2" borderId="4" xfId="1" applyFont="1" applyFill="1" applyBorder="1"/>
    <xf numFmtId="173" fontId="6" fillId="0" borderId="3" xfId="2" applyNumberFormat="1" applyFont="1" applyFill="1" applyBorder="1"/>
    <xf numFmtId="2" fontId="0" fillId="0" borderId="3" xfId="0" applyNumberFormat="1" applyBorder="1"/>
    <xf numFmtId="2" fontId="6" fillId="0" borderId="3" xfId="1" applyNumberFormat="1" applyFont="1" applyFill="1" applyBorder="1"/>
    <xf numFmtId="168" fontId="0" fillId="0" borderId="3" xfId="0" applyNumberFormat="1" applyBorder="1"/>
    <xf numFmtId="168" fontId="0" fillId="0" borderId="3" xfId="1" applyNumberFormat="1" applyFont="1" applyFill="1" applyBorder="1"/>
    <xf numFmtId="43" fontId="1" fillId="0" borderId="3" xfId="1" applyFont="1" applyFill="1" applyBorder="1"/>
    <xf numFmtId="10" fontId="6" fillId="0" borderId="3" xfId="2" applyNumberFormat="1" applyFont="1" applyFill="1" applyBorder="1"/>
    <xf numFmtId="168" fontId="0" fillId="0" borderId="3" xfId="2" applyNumberFormat="1" applyFont="1" applyBorder="1"/>
    <xf numFmtId="169" fontId="0" fillId="0" borderId="3" xfId="0" applyNumberFormat="1" applyBorder="1"/>
    <xf numFmtId="169" fontId="0" fillId="0" borderId="36" xfId="0" applyNumberFormat="1" applyBorder="1"/>
    <xf numFmtId="10" fontId="0" fillId="0" borderId="3" xfId="0" applyNumberFormat="1" applyBorder="1"/>
    <xf numFmtId="0" fontId="0" fillId="0" borderId="11" xfId="0" applyBorder="1" applyAlignment="1">
      <alignment horizontal="right"/>
    </xf>
    <xf numFmtId="180" fontId="1" fillId="0" borderId="0" xfId="0" applyNumberFormat="1" applyFont="1"/>
    <xf numFmtId="181" fontId="1" fillId="0" borderId="0" xfId="0" applyNumberFormat="1" applyFont="1"/>
    <xf numFmtId="9" fontId="0" fillId="0" borderId="0" xfId="0" applyNumberFormat="1"/>
    <xf numFmtId="182" fontId="0" fillId="0" borderId="0" xfId="0" applyNumberFormat="1"/>
    <xf numFmtId="0" fontId="0" fillId="0" borderId="0" xfId="0" pivotButton="1"/>
    <xf numFmtId="0" fontId="1" fillId="0" borderId="0" xfId="0" applyFont="1" applyAlignment="1">
      <alignment wrapText="1"/>
    </xf>
    <xf numFmtId="0" fontId="1" fillId="0" borderId="0" xfId="0" pivotButton="1" applyFont="1"/>
    <xf numFmtId="176" fontId="1" fillId="5" borderId="4" xfId="0" applyNumberFormat="1" applyFont="1" applyFill="1" applyBorder="1" applyAlignment="1">
      <alignment horizontal="right"/>
    </xf>
    <xf numFmtId="168" fontId="1" fillId="5" borderId="7" xfId="0" applyNumberFormat="1" applyFont="1" applyFill="1" applyBorder="1" applyAlignment="1">
      <alignment horizontal="right"/>
    </xf>
    <xf numFmtId="176" fontId="1" fillId="5" borderId="12" xfId="0" applyNumberFormat="1" applyFont="1" applyFill="1" applyBorder="1" applyAlignment="1">
      <alignment horizontal="right"/>
    </xf>
    <xf numFmtId="10" fontId="0" fillId="5" borderId="19" xfId="2" applyNumberFormat="1" applyFont="1" applyFill="1" applyBorder="1" applyAlignment="1">
      <alignment horizontal="right"/>
    </xf>
    <xf numFmtId="10" fontId="0" fillId="5" borderId="17" xfId="2" applyNumberFormat="1" applyFont="1" applyFill="1" applyBorder="1" applyAlignment="1">
      <alignment horizontal="right"/>
    </xf>
    <xf numFmtId="0" fontId="0" fillId="5" borderId="17" xfId="0" applyFill="1" applyBorder="1" applyAlignment="1">
      <alignment horizontal="right"/>
    </xf>
    <xf numFmtId="10" fontId="6" fillId="5" borderId="19" xfId="2" applyNumberFormat="1" applyFont="1" applyFill="1" applyBorder="1" applyAlignment="1"/>
    <xf numFmtId="10" fontId="1" fillId="5" borderId="12" xfId="2" applyNumberFormat="1" applyFont="1" applyFill="1" applyBorder="1" applyAlignment="1"/>
    <xf numFmtId="10" fontId="1" fillId="5" borderId="12" xfId="2" applyNumberFormat="1" applyFont="1" applyFill="1" applyBorder="1"/>
    <xf numFmtId="0" fontId="1" fillId="5" borderId="12" xfId="0" applyFont="1" applyFill="1" applyBorder="1"/>
    <xf numFmtId="10" fontId="1" fillId="9" borderId="17" xfId="2" applyNumberFormat="1" applyFont="1" applyFill="1" applyBorder="1"/>
    <xf numFmtId="10" fontId="1" fillId="9" borderId="17" xfId="0" applyNumberFormat="1" applyFont="1" applyFill="1" applyBorder="1"/>
    <xf numFmtId="10" fontId="1" fillId="9" borderId="20" xfId="0" applyNumberFormat="1" applyFont="1" applyFill="1" applyBorder="1"/>
    <xf numFmtId="10" fontId="1" fillId="9" borderId="0" xfId="2" applyNumberFormat="1" applyFont="1" applyFill="1"/>
    <xf numFmtId="43" fontId="1" fillId="9" borderId="20" xfId="0" applyNumberFormat="1" applyFont="1" applyFill="1" applyBorder="1"/>
    <xf numFmtId="10" fontId="1" fillId="9" borderId="12" xfId="0" applyNumberFormat="1" applyFont="1" applyFill="1" applyBorder="1"/>
    <xf numFmtId="10" fontId="1" fillId="9" borderId="19" xfId="2" applyNumberFormat="1" applyFont="1" applyFill="1" applyBorder="1"/>
    <xf numFmtId="10" fontId="1" fillId="9" borderId="7" xfId="0" applyNumberFormat="1" applyFont="1" applyFill="1" applyBorder="1"/>
    <xf numFmtId="2" fontId="1" fillId="9" borderId="12" xfId="0" applyNumberFormat="1" applyFont="1" applyFill="1" applyBorder="1"/>
    <xf numFmtId="10" fontId="1" fillId="9" borderId="4" xfId="0" applyNumberFormat="1" applyFont="1" applyFill="1" applyBorder="1"/>
    <xf numFmtId="0" fontId="5" fillId="9" borderId="9" xfId="0" applyFont="1" applyFill="1" applyBorder="1"/>
    <xf numFmtId="184" fontId="0" fillId="0" borderId="0" xfId="0" applyNumberFormat="1"/>
    <xf numFmtId="8" fontId="4" fillId="0" borderId="0" xfId="0" applyNumberFormat="1" applyFont="1" applyAlignment="1">
      <alignment horizontal="left" vertical="top"/>
    </xf>
    <xf numFmtId="183" fontId="0" fillId="0" borderId="0" xfId="0" applyNumberFormat="1" applyAlignment="1">
      <alignment horizontal="left"/>
    </xf>
    <xf numFmtId="0" fontId="1" fillId="2" borderId="8" xfId="0" applyFont="1" applyFill="1" applyBorder="1"/>
    <xf numFmtId="0" fontId="0" fillId="0" borderId="8" xfId="0" applyBorder="1" applyAlignment="1">
      <alignment horizontal="right"/>
    </xf>
    <xf numFmtId="0" fontId="0" fillId="0" borderId="10" xfId="0" applyBorder="1" applyAlignment="1">
      <alignment horizontal="right"/>
    </xf>
    <xf numFmtId="171" fontId="0" fillId="0" borderId="0" xfId="0" applyNumberFormat="1"/>
    <xf numFmtId="173" fontId="6" fillId="0" borderId="0" xfId="2" applyNumberFormat="1" applyFont="1" applyFill="1" applyBorder="1" applyAlignment="1">
      <alignment vertical="center"/>
    </xf>
    <xf numFmtId="10" fontId="1" fillId="0" borderId="17" xfId="2" applyNumberFormat="1" applyFont="1" applyBorder="1" applyAlignment="1">
      <alignment vertical="center"/>
    </xf>
    <xf numFmtId="10" fontId="1" fillId="0" borderId="6" xfId="2" applyNumberFormat="1" applyFont="1" applyBorder="1" applyAlignment="1">
      <alignment vertical="center"/>
    </xf>
    <xf numFmtId="173" fontId="6" fillId="0" borderId="3" xfId="2" applyNumberFormat="1" applyFont="1" applyFill="1" applyBorder="1" applyAlignment="1">
      <alignment vertical="center"/>
    </xf>
    <xf numFmtId="173" fontId="6" fillId="0" borderId="6" xfId="2" applyNumberFormat="1" applyFont="1" applyFill="1" applyBorder="1" applyAlignment="1">
      <alignment vertical="center"/>
    </xf>
    <xf numFmtId="10" fontId="6" fillId="0" borderId="0" xfId="2" applyNumberFormat="1" applyFont="1" applyFill="1" applyBorder="1" applyAlignment="1">
      <alignment vertical="center"/>
    </xf>
    <xf numFmtId="10" fontId="6" fillId="0" borderId="3" xfId="2" applyNumberFormat="1" applyFont="1" applyFill="1" applyBorder="1" applyAlignment="1">
      <alignment vertical="center"/>
    </xf>
    <xf numFmtId="10" fontId="6" fillId="0" borderId="6" xfId="2" applyNumberFormat="1" applyFont="1" applyFill="1" applyBorder="1" applyAlignment="1">
      <alignment vertical="center"/>
    </xf>
    <xf numFmtId="176" fontId="0" fillId="5" borderId="17" xfId="0" applyNumberFormat="1" applyFill="1" applyBorder="1" applyAlignment="1">
      <alignment horizontal="right"/>
    </xf>
    <xf numFmtId="10" fontId="6" fillId="5" borderId="17" xfId="2" applyNumberFormat="1" applyFont="1" applyFill="1" applyBorder="1" applyAlignment="1">
      <alignment horizontal="right"/>
    </xf>
    <xf numFmtId="0" fontId="21" fillId="0" borderId="2" xfId="0" applyFont="1" applyBorder="1" applyAlignment="1">
      <alignment horizontal="right"/>
    </xf>
    <xf numFmtId="0" fontId="28" fillId="0" borderId="0" xfId="0" applyFont="1" applyAlignment="1">
      <alignment vertical="top" wrapText="1"/>
    </xf>
    <xf numFmtId="171" fontId="25" fillId="2" borderId="29" xfId="2" applyNumberFormat="1" applyFont="1" applyFill="1" applyBorder="1" applyAlignment="1">
      <alignment horizontal="center" vertical="center"/>
    </xf>
    <xf numFmtId="171" fontId="25" fillId="2" borderId="0" xfId="2" applyNumberFormat="1" applyFont="1" applyFill="1" applyBorder="1" applyAlignment="1">
      <alignment horizontal="center" vertical="center"/>
    </xf>
    <xf numFmtId="171" fontId="25" fillId="2" borderId="31" xfId="2" applyNumberFormat="1" applyFont="1" applyFill="1" applyBorder="1" applyAlignment="1">
      <alignment horizontal="center" vertical="center"/>
    </xf>
    <xf numFmtId="171" fontId="25" fillId="2" borderId="32" xfId="2" applyNumberFormat="1" applyFont="1" applyFill="1" applyBorder="1" applyAlignment="1">
      <alignment horizontal="center" vertical="center"/>
    </xf>
    <xf numFmtId="171" fontId="25" fillId="2" borderId="33" xfId="2" applyNumberFormat="1" applyFont="1" applyFill="1" applyBorder="1" applyAlignment="1">
      <alignment horizontal="center" vertical="center"/>
    </xf>
    <xf numFmtId="171" fontId="25" fillId="2" borderId="34" xfId="2" applyNumberFormat="1" applyFont="1" applyFill="1" applyBorder="1" applyAlignment="1">
      <alignment horizontal="center" vertical="center"/>
    </xf>
    <xf numFmtId="0" fontId="26" fillId="2" borderId="27" xfId="0" applyFont="1" applyFill="1" applyBorder="1" applyAlignment="1">
      <alignment horizontal="center" vertical="center"/>
    </xf>
    <xf numFmtId="0" fontId="26" fillId="2" borderId="28" xfId="0" applyFont="1" applyFill="1" applyBorder="1" applyAlignment="1">
      <alignment horizontal="center" vertical="center"/>
    </xf>
    <xf numFmtId="0" fontId="26" fillId="2" borderId="30" xfId="0" applyFont="1" applyFill="1" applyBorder="1" applyAlignment="1">
      <alignment horizontal="center" vertical="center"/>
    </xf>
    <xf numFmtId="0" fontId="26" fillId="2" borderId="29" xfId="0" applyFont="1" applyFill="1" applyBorder="1" applyAlignment="1">
      <alignment horizontal="center" vertical="center"/>
    </xf>
    <xf numFmtId="0" fontId="26" fillId="2" borderId="0" xfId="0" applyFont="1" applyFill="1" applyAlignment="1">
      <alignment horizontal="center" vertical="center"/>
    </xf>
    <xf numFmtId="0" fontId="26" fillId="2" borderId="31" xfId="0" applyFont="1" applyFill="1" applyBorder="1" applyAlignment="1">
      <alignment horizontal="center" vertical="center"/>
    </xf>
    <xf numFmtId="0" fontId="30" fillId="0" borderId="0" xfId="0" applyFont="1" applyAlignment="1">
      <alignment vertical="top" wrapText="1"/>
    </xf>
    <xf numFmtId="0" fontId="11" fillId="4" borderId="4" xfId="0" applyFont="1" applyFill="1" applyBorder="1"/>
    <xf numFmtId="0" fontId="11" fillId="4" borderId="1" xfId="0" applyFont="1" applyFill="1" applyBorder="1"/>
    <xf numFmtId="0" fontId="11" fillId="4" borderId="7" xfId="0" applyFont="1" applyFill="1" applyBorder="1"/>
    <xf numFmtId="0" fontId="1" fillId="8" borderId="10" xfId="0" applyFont="1" applyFill="1" applyBorder="1" applyAlignment="1">
      <alignment horizontal="center" vertical="center" wrapText="1"/>
    </xf>
    <xf numFmtId="0" fontId="1" fillId="8" borderId="5" xfId="0" applyFont="1" applyFill="1" applyBorder="1" applyAlignment="1">
      <alignment horizontal="center" vertical="center" wrapText="1"/>
    </xf>
    <xf numFmtId="0" fontId="1" fillId="8" borderId="9" xfId="0" applyFont="1" applyFill="1" applyBorder="1" applyAlignment="1">
      <alignment horizontal="center" vertical="center"/>
    </xf>
    <xf numFmtId="0" fontId="1" fillId="8" borderId="8" xfId="0" applyFont="1" applyFill="1" applyBorder="1" applyAlignment="1">
      <alignment horizontal="center" vertical="center"/>
    </xf>
    <xf numFmtId="0" fontId="1" fillId="8" borderId="2" xfId="0" applyFont="1" applyFill="1" applyBorder="1" applyAlignment="1">
      <alignment horizontal="center" vertical="center"/>
    </xf>
    <xf numFmtId="0" fontId="1" fillId="8" borderId="11" xfId="0" applyFont="1" applyFill="1" applyBorder="1" applyAlignment="1">
      <alignment horizontal="center" vertical="center"/>
    </xf>
    <xf numFmtId="0" fontId="1" fillId="8" borderId="8" xfId="0" applyFont="1" applyFill="1" applyBorder="1" applyAlignment="1">
      <alignment horizontal="center" vertical="center" wrapText="1"/>
    </xf>
    <xf numFmtId="0" fontId="1" fillId="8" borderId="11" xfId="0" applyFont="1" applyFill="1" applyBorder="1" applyAlignment="1">
      <alignment horizontal="center" vertical="center" wrapText="1"/>
    </xf>
    <xf numFmtId="0" fontId="1" fillId="0" borderId="0" xfId="0" applyFont="1"/>
    <xf numFmtId="0" fontId="1" fillId="4" borderId="14" xfId="0" applyFont="1" applyFill="1" applyBorder="1" applyAlignment="1">
      <alignment horizontal="center"/>
    </xf>
    <xf numFmtId="0" fontId="1" fillId="4" borderId="13" xfId="0" applyFont="1" applyFill="1" applyBorder="1" applyAlignment="1">
      <alignment horizontal="center"/>
    </xf>
    <xf numFmtId="0" fontId="0" fillId="0" borderId="3" xfId="0" applyBorder="1" applyAlignment="1">
      <alignment horizontal="left" indent="1"/>
    </xf>
    <xf numFmtId="0" fontId="0" fillId="0" borderId="0" xfId="0" applyAlignment="1">
      <alignment horizontal="left" indent="1"/>
    </xf>
    <xf numFmtId="0" fontId="0" fillId="0" borderId="3" xfId="0" applyBorder="1"/>
    <xf numFmtId="0" fontId="0" fillId="0" borderId="0" xfId="0"/>
    <xf numFmtId="0" fontId="17" fillId="0" borderId="15" xfId="0" applyFont="1" applyBorder="1" applyAlignment="1">
      <alignment horizontal="center"/>
    </xf>
    <xf numFmtId="0" fontId="1" fillId="8" borderId="9" xfId="0" applyFont="1" applyFill="1" applyBorder="1" applyAlignment="1">
      <alignment horizontal="center" vertical="center" wrapText="1"/>
    </xf>
    <xf numFmtId="0" fontId="1" fillId="8" borderId="2" xfId="0" applyFont="1" applyFill="1" applyBorder="1" applyAlignment="1">
      <alignment horizontal="center" vertical="center" wrapText="1"/>
    </xf>
    <xf numFmtId="0" fontId="1" fillId="8" borderId="10" xfId="0" applyFont="1" applyFill="1" applyBorder="1" applyAlignment="1">
      <alignment horizontal="center" vertical="center"/>
    </xf>
    <xf numFmtId="0" fontId="1" fillId="8" borderId="5" xfId="0" applyFont="1" applyFill="1" applyBorder="1" applyAlignment="1">
      <alignment horizontal="center" vertical="center"/>
    </xf>
    <xf numFmtId="10" fontId="1" fillId="8" borderId="8" xfId="2" applyNumberFormat="1" applyFont="1" applyFill="1" applyBorder="1" applyAlignment="1">
      <alignment horizontal="center" vertical="center" wrapText="1"/>
    </xf>
    <xf numFmtId="10" fontId="1" fillId="8" borderId="11" xfId="2" applyNumberFormat="1" applyFont="1" applyFill="1" applyBorder="1" applyAlignment="1">
      <alignment horizontal="center" vertical="center" wrapText="1"/>
    </xf>
    <xf numFmtId="167" fontId="35" fillId="5" borderId="8" xfId="1" applyNumberFormat="1" applyFont="1" applyFill="1" applyBorder="1" applyAlignment="1">
      <alignment vertical="center"/>
    </xf>
    <xf numFmtId="167" fontId="35" fillId="5" borderId="11" xfId="1" applyNumberFormat="1" applyFont="1" applyFill="1" applyBorder="1" applyAlignment="1">
      <alignment vertical="center"/>
    </xf>
    <xf numFmtId="167" fontId="35" fillId="5" borderId="9" xfId="1" applyNumberFormat="1" applyFont="1" applyFill="1" applyBorder="1" applyAlignment="1">
      <alignment vertical="center"/>
    </xf>
    <xf numFmtId="167" fontId="35" fillId="5" borderId="2" xfId="1" applyNumberFormat="1" applyFont="1" applyFill="1" applyBorder="1" applyAlignment="1">
      <alignment vertical="center"/>
    </xf>
    <xf numFmtId="171" fontId="4" fillId="0" borderId="0" xfId="0" applyNumberFormat="1" applyFont="1" applyAlignment="1">
      <alignment horizontal="left" vertical="top"/>
    </xf>
    <xf numFmtId="0" fontId="1" fillId="0" borderId="0" xfId="0" applyFont="1" applyAlignment="1">
      <alignment horizontal="center" vertical="center" wrapText="1"/>
    </xf>
    <xf numFmtId="10" fontId="1" fillId="0" borderId="0" xfId="2" applyNumberFormat="1" applyFont="1" applyFill="1" applyBorder="1" applyAlignment="1">
      <alignment horizontal="center" vertical="center" wrapText="1"/>
    </xf>
    <xf numFmtId="0" fontId="11" fillId="0" borderId="9" xfId="0" applyFont="1" applyBorder="1" applyAlignment="1">
      <alignment horizontal="left" vertical="center"/>
    </xf>
    <xf numFmtId="0" fontId="11" fillId="0" borderId="8" xfId="0" applyFont="1" applyBorder="1" applyAlignment="1">
      <alignment horizontal="left" vertical="center"/>
    </xf>
    <xf numFmtId="0" fontId="11" fillId="0" borderId="10" xfId="0" applyFont="1" applyBorder="1" applyAlignment="1">
      <alignment horizontal="left" vertical="center"/>
    </xf>
    <xf numFmtId="0" fontId="11" fillId="0" borderId="2" xfId="0" applyFont="1" applyBorder="1" applyAlignment="1">
      <alignment horizontal="left" vertical="center"/>
    </xf>
    <xf numFmtId="0" fontId="11" fillId="0" borderId="11" xfId="0" applyFont="1" applyBorder="1" applyAlignment="1">
      <alignment horizontal="left" vertical="center"/>
    </xf>
    <xf numFmtId="0" fontId="11" fillId="0" borderId="5" xfId="0" applyFont="1" applyBorder="1" applyAlignment="1">
      <alignment horizontal="left" vertical="center"/>
    </xf>
    <xf numFmtId="167" fontId="35" fillId="5" borderId="10" xfId="1" applyNumberFormat="1" applyFont="1" applyFill="1" applyBorder="1" applyAlignment="1">
      <alignment vertical="center"/>
    </xf>
    <xf numFmtId="167" fontId="35" fillId="5" borderId="5" xfId="1" applyNumberFormat="1" applyFont="1" applyFill="1" applyBorder="1" applyAlignment="1">
      <alignment vertical="center"/>
    </xf>
    <xf numFmtId="0" fontId="13" fillId="0" borderId="9" xfId="0" applyFont="1" applyBorder="1" applyAlignment="1">
      <alignment vertical="center"/>
    </xf>
    <xf numFmtId="0" fontId="13" fillId="0" borderId="8" xfId="0" applyFont="1" applyBorder="1" applyAlignment="1">
      <alignment vertical="center"/>
    </xf>
    <xf numFmtId="0" fontId="13" fillId="0" borderId="2" xfId="0" applyFont="1" applyBorder="1" applyAlignment="1">
      <alignment vertical="center"/>
    </xf>
    <xf numFmtId="0" fontId="13" fillId="0" borderId="11" xfId="0" applyFont="1" applyBorder="1" applyAlignment="1">
      <alignment vertical="center"/>
    </xf>
    <xf numFmtId="0" fontId="27" fillId="0" borderId="0" xfId="0" applyFont="1" applyAlignment="1">
      <alignment vertical="top" wrapText="1"/>
    </xf>
    <xf numFmtId="0" fontId="13" fillId="8" borderId="9" xfId="0" applyFont="1" applyFill="1" applyBorder="1" applyAlignment="1">
      <alignment horizontal="center" vertical="center"/>
    </xf>
    <xf numFmtId="0" fontId="13" fillId="8" borderId="8" xfId="0" applyFont="1" applyFill="1" applyBorder="1" applyAlignment="1">
      <alignment horizontal="center" vertical="center"/>
    </xf>
    <xf numFmtId="0" fontId="13" fillId="8" borderId="10" xfId="0" applyFont="1" applyFill="1" applyBorder="1" applyAlignment="1">
      <alignment horizontal="center" vertical="center"/>
    </xf>
    <xf numFmtId="0" fontId="13" fillId="8" borderId="2" xfId="0" applyFont="1" applyFill="1" applyBorder="1" applyAlignment="1">
      <alignment horizontal="center" vertical="center"/>
    </xf>
    <xf numFmtId="0" fontId="13" fillId="8" borderId="11" xfId="0" applyFont="1" applyFill="1" applyBorder="1" applyAlignment="1">
      <alignment horizontal="center" vertical="center"/>
    </xf>
    <xf numFmtId="0" fontId="13" fillId="8" borderId="5" xfId="0" applyFont="1" applyFill="1" applyBorder="1" applyAlignment="1">
      <alignment horizontal="center" vertical="center"/>
    </xf>
    <xf numFmtId="0" fontId="11" fillId="4" borderId="9" xfId="0" applyFont="1" applyFill="1" applyBorder="1" applyAlignment="1">
      <alignment vertical="top"/>
    </xf>
    <xf numFmtId="0" fontId="11" fillId="4" borderId="8" xfId="0" applyFont="1" applyFill="1" applyBorder="1" applyAlignment="1">
      <alignment vertical="top"/>
    </xf>
    <xf numFmtId="0" fontId="11" fillId="4" borderId="2" xfId="0" applyFont="1" applyFill="1" applyBorder="1" applyAlignment="1">
      <alignment vertical="top"/>
    </xf>
    <xf numFmtId="0" fontId="11" fillId="4" borderId="11" xfId="0" applyFont="1" applyFill="1" applyBorder="1" applyAlignment="1">
      <alignment vertical="top"/>
    </xf>
    <xf numFmtId="167" fontId="11" fillId="5" borderId="19" xfId="0" applyNumberFormat="1" applyFont="1" applyFill="1" applyBorder="1" applyAlignment="1">
      <alignment vertical="top"/>
    </xf>
    <xf numFmtId="167" fontId="11" fillId="5" borderId="20" xfId="0" applyNumberFormat="1" applyFont="1" applyFill="1" applyBorder="1" applyAlignment="1">
      <alignment vertical="top"/>
    </xf>
    <xf numFmtId="179" fontId="34" fillId="0" borderId="10" xfId="2" applyNumberFormat="1" applyFont="1" applyBorder="1" applyAlignment="1">
      <alignment horizontal="right" vertical="center"/>
    </xf>
    <xf numFmtId="179" fontId="34" fillId="0" borderId="5" xfId="2" applyNumberFormat="1" applyFont="1" applyBorder="1" applyAlignment="1">
      <alignment horizontal="right" vertical="center"/>
    </xf>
    <xf numFmtId="0" fontId="4" fillId="0" borderId="0" xfId="0" applyFont="1" applyAlignment="1">
      <alignment horizontal="left" vertical="top"/>
    </xf>
    <xf numFmtId="0" fontId="1" fillId="3" borderId="18" xfId="0" applyFont="1" applyFill="1" applyBorder="1" applyAlignment="1">
      <alignment horizontal="center"/>
    </xf>
    <xf numFmtId="0" fontId="1" fillId="3" borderId="14" xfId="0" applyFont="1" applyFill="1" applyBorder="1" applyAlignment="1">
      <alignment horizontal="center"/>
    </xf>
    <xf numFmtId="0" fontId="11" fillId="0" borderId="3" xfId="0" applyFont="1" applyBorder="1" applyAlignment="1">
      <alignment horizontal="left"/>
    </xf>
    <xf numFmtId="0" fontId="11" fillId="0" borderId="0" xfId="0" applyFont="1" applyAlignment="1">
      <alignment horizontal="left"/>
    </xf>
    <xf numFmtId="0" fontId="1" fillId="2" borderId="4" xfId="0" applyFont="1" applyFill="1" applyBorder="1" applyAlignment="1">
      <alignment horizontal="right"/>
    </xf>
    <xf numFmtId="0" fontId="1" fillId="2" borderId="1" xfId="0" applyFont="1" applyFill="1" applyBorder="1" applyAlignment="1">
      <alignment horizontal="right"/>
    </xf>
    <xf numFmtId="0" fontId="1" fillId="2" borderId="7" xfId="0" applyFont="1" applyFill="1" applyBorder="1" applyAlignment="1">
      <alignment horizontal="right"/>
    </xf>
    <xf numFmtId="8" fontId="4" fillId="0" borderId="0" xfId="0" applyNumberFormat="1" applyFont="1" applyAlignment="1">
      <alignment horizontal="left" vertical="top"/>
    </xf>
    <xf numFmtId="0" fontId="30" fillId="0" borderId="0" xfId="0" applyFont="1" applyAlignment="1">
      <alignment horizontal="left" vertical="top" wrapText="1"/>
    </xf>
    <xf numFmtId="0" fontId="30" fillId="0" borderId="16" xfId="0" applyFont="1" applyBorder="1" applyAlignment="1">
      <alignment horizontal="left" vertical="top" wrapText="1"/>
    </xf>
    <xf numFmtId="0" fontId="9" fillId="0" borderId="8" xfId="0" applyFont="1" applyBorder="1" applyAlignment="1">
      <alignment horizontal="left" vertical="top" wrapText="1"/>
    </xf>
    <xf numFmtId="0" fontId="9" fillId="0" borderId="0" xfId="0" applyFont="1" applyAlignment="1">
      <alignment horizontal="left" vertical="top" wrapText="1"/>
    </xf>
    <xf numFmtId="0" fontId="5" fillId="0" borderId="8" xfId="0" quotePrefix="1" applyFont="1" applyBorder="1"/>
    <xf numFmtId="0" fontId="5" fillId="0" borderId="10" xfId="0" quotePrefix="1" applyFont="1" applyBorder="1"/>
    <xf numFmtId="0" fontId="5" fillId="0" borderId="11" xfId="0" quotePrefix="1" applyFont="1" applyBorder="1"/>
    <xf numFmtId="0" fontId="5" fillId="0" borderId="5" xfId="0" quotePrefix="1" applyFont="1" applyBorder="1"/>
    <xf numFmtId="165" fontId="1" fillId="3" borderId="24" xfId="0" applyNumberFormat="1" applyFont="1" applyFill="1" applyBorder="1" applyAlignment="1">
      <alignment horizontal="center"/>
    </xf>
    <xf numFmtId="165" fontId="1" fillId="3" borderId="22" xfId="0" applyNumberFormat="1" applyFont="1" applyFill="1" applyBorder="1" applyAlignment="1">
      <alignment horizontal="center"/>
    </xf>
    <xf numFmtId="165" fontId="1" fillId="3" borderId="23" xfId="0" applyNumberFormat="1" applyFont="1" applyFill="1" applyBorder="1" applyAlignment="1">
      <alignment horizontal="center"/>
    </xf>
    <xf numFmtId="0" fontId="13" fillId="3" borderId="14" xfId="0" applyFont="1" applyFill="1" applyBorder="1" applyAlignment="1">
      <alignment horizontal="center"/>
    </xf>
    <xf numFmtId="0" fontId="13" fillId="3" borderId="13" xfId="0" applyFont="1" applyFill="1" applyBorder="1" applyAlignment="1">
      <alignment horizontal="center"/>
    </xf>
    <xf numFmtId="165" fontId="1" fillId="0" borderId="0" xfId="0" applyNumberFormat="1" applyFont="1" applyAlignment="1">
      <alignment horizontal="center"/>
    </xf>
    <xf numFmtId="166" fontId="1" fillId="4" borderId="24" xfId="0" applyNumberFormat="1" applyFont="1" applyFill="1" applyBorder="1" applyAlignment="1">
      <alignment horizontal="center"/>
    </xf>
    <xf numFmtId="166" fontId="1" fillId="4" borderId="22" xfId="0" applyNumberFormat="1" applyFont="1" applyFill="1" applyBorder="1" applyAlignment="1">
      <alignment horizontal="center"/>
    </xf>
    <xf numFmtId="166" fontId="1" fillId="4" borderId="23" xfId="0" applyNumberFormat="1" applyFont="1" applyFill="1" applyBorder="1" applyAlignment="1">
      <alignment horizontal="center"/>
    </xf>
    <xf numFmtId="0" fontId="13" fillId="3" borderId="18" xfId="0" applyFont="1" applyFill="1" applyBorder="1" applyAlignment="1">
      <alignment horizontal="center"/>
    </xf>
    <xf numFmtId="0" fontId="13" fillId="4" borderId="18" xfId="0" applyFont="1" applyFill="1" applyBorder="1" applyAlignment="1">
      <alignment horizontal="center"/>
    </xf>
    <xf numFmtId="0" fontId="13" fillId="4" borderId="14" xfId="0" applyFont="1" applyFill="1" applyBorder="1" applyAlignment="1">
      <alignment horizontal="center"/>
    </xf>
    <xf numFmtId="0" fontId="13" fillId="4" borderId="13" xfId="0" applyFont="1" applyFill="1" applyBorder="1" applyAlignment="1">
      <alignment horizontal="center"/>
    </xf>
    <xf numFmtId="165" fontId="1" fillId="0" borderId="3" xfId="0" applyNumberFormat="1" applyFont="1" applyBorder="1" applyAlignment="1">
      <alignment horizontal="center"/>
    </xf>
    <xf numFmtId="0" fontId="18" fillId="0" borderId="0" xfId="0" applyFont="1" applyAlignment="1">
      <alignment horizontal="center" vertical="center"/>
    </xf>
    <xf numFmtId="0" fontId="1" fillId="4" borderId="18" xfId="0" applyFont="1" applyFill="1" applyBorder="1" applyAlignment="1">
      <alignment horizontal="center"/>
    </xf>
    <xf numFmtId="0" fontId="1" fillId="3" borderId="13" xfId="0" applyFont="1" applyFill="1" applyBorder="1" applyAlignment="1">
      <alignment horizontal="center"/>
    </xf>
    <xf numFmtId="0" fontId="0" fillId="0" borderId="9" xfId="1" applyNumberFormat="1" applyFont="1" applyFill="1" applyBorder="1" applyAlignment="1">
      <alignment horizontal="left" indent="1"/>
    </xf>
    <xf numFmtId="0" fontId="0" fillId="0" borderId="8" xfId="1" applyNumberFormat="1" applyFont="1" applyFill="1" applyBorder="1" applyAlignment="1">
      <alignment horizontal="left" indent="1"/>
    </xf>
    <xf numFmtId="0" fontId="0" fillId="0" borderId="3" xfId="0" applyBorder="1" applyAlignment="1">
      <alignment horizontal="left" wrapText="1" indent="1"/>
    </xf>
    <xf numFmtId="0" fontId="0" fillId="0" borderId="0" xfId="0" applyAlignment="1">
      <alignment horizontal="left" wrapText="1" indent="1"/>
    </xf>
    <xf numFmtId="0" fontId="0" fillId="0" borderId="6" xfId="0" applyBorder="1" applyAlignment="1">
      <alignment horizontal="left" wrapText="1" indent="1"/>
    </xf>
    <xf numFmtId="176" fontId="0" fillId="0" borderId="2" xfId="0" applyNumberFormat="1" applyBorder="1" applyAlignment="1">
      <alignment horizontal="right"/>
    </xf>
    <xf numFmtId="168" fontId="0" fillId="0" borderId="5" xfId="0" applyNumberFormat="1" applyBorder="1" applyAlignment="1"/>
  </cellXfs>
  <cellStyles count="3">
    <cellStyle name="Comma" xfId="1" builtinId="3"/>
    <cellStyle name="Normal" xfId="0" builtinId="0"/>
    <cellStyle name="Percent" xfId="2" builtinId="5"/>
  </cellStyles>
  <dxfs count="42">
    <dxf>
      <font>
        <strike val="0"/>
        <color theme="9" tint="-0.24994659260841701"/>
      </font>
    </dxf>
    <dxf>
      <font>
        <color theme="9" tint="-0.24994659260841701"/>
      </font>
    </dxf>
    <dxf>
      <font>
        <color rgb="FF00B050"/>
      </font>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trike val="0"/>
        <color theme="9" tint="-0.24994659260841701"/>
      </font>
    </dxf>
    <dxf>
      <font>
        <color theme="9" tint="-0.24994659260841701"/>
      </font>
    </dxf>
    <dxf>
      <font>
        <color rgb="FF00B050"/>
      </font>
    </dxf>
    <dxf>
      <numFmt numFmtId="14" formatCode="0.00%"/>
    </dxf>
    <dxf>
      <numFmt numFmtId="14" formatCode="0.00%"/>
    </dxf>
    <dxf>
      <numFmt numFmtId="14" formatCode="0.00%"/>
    </dxf>
    <dxf>
      <numFmt numFmtId="14" formatCode="0.00%"/>
    </dxf>
    <dxf>
      <numFmt numFmtId="14" formatCode="0.00%"/>
    </dxf>
    <dxf>
      <font>
        <b val="0"/>
        <i val="0"/>
        <strike val="0"/>
        <condense val="0"/>
        <extend val="0"/>
        <outline val="0"/>
        <shadow val="0"/>
        <u val="none"/>
        <vertAlign val="baseline"/>
        <sz val="11"/>
        <color theme="1"/>
        <name val="Calibri"/>
        <family val="2"/>
        <scheme val="minor"/>
      </font>
      <numFmt numFmtId="14" formatCode="0.00%"/>
    </dxf>
    <dxf>
      <numFmt numFmtId="184" formatCode="&quot;₹&quot;\ #,##0\ &quot;Cr.&quot;"/>
    </dxf>
    <dxf>
      <numFmt numFmtId="184" formatCode="&quot;₹&quot;\ #,##0\ &quot;Cr.&quot;"/>
    </dxf>
    <dxf>
      <numFmt numFmtId="184" formatCode="&quot;₹&quot;\ #,##0\ &quot;Cr.&quot;"/>
    </dxf>
    <dxf>
      <numFmt numFmtId="184" formatCode="&quot;₹&quot;\ #,##0\ &quot;Cr.&quot;"/>
    </dxf>
    <dxf>
      <font>
        <b/>
        <i val="0"/>
        <strike val="0"/>
        <condense val="0"/>
        <extend val="0"/>
        <outline val="0"/>
        <shadow val="0"/>
        <u val="none"/>
        <vertAlign val="baseline"/>
        <sz val="11"/>
        <color theme="1"/>
        <name val="Calibri"/>
        <family val="2"/>
        <scheme val="minor"/>
      </font>
      <numFmt numFmtId="181" formatCode="&quot;FY&quot;0&quot;E&quot;"/>
    </dxf>
    <dxf>
      <font>
        <b/>
        <i val="0"/>
        <strike val="0"/>
        <condense val="0"/>
        <extend val="0"/>
        <outline val="0"/>
        <shadow val="0"/>
        <u val="none"/>
        <vertAlign val="baseline"/>
        <sz val="11"/>
        <color theme="1"/>
        <name val="Calibri"/>
        <family val="2"/>
        <scheme val="minor"/>
      </font>
    </dxf>
    <dxf>
      <font>
        <b/>
      </font>
    </dxf>
  </dxfs>
  <tableStyles count="0" defaultTableStyle="TableStyleMedium2" defaultPivotStyle="PivotStyleLight16"/>
  <colors>
    <mruColors>
      <color rgb="FFE24B08"/>
      <color rgb="FFD6CBE3"/>
      <color rgb="FFF1EDF7"/>
      <color rgb="FF220A43"/>
      <color rgb="FFF6F3FA"/>
      <color rgb="FFFFF8ED"/>
      <color rgb="FFF7F4FA"/>
      <color rgb="FFFCB017"/>
      <color rgb="FFA893CB"/>
      <color rgb="FFED2F2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r>
              <a:rPr lang="en-IN" sz="1200" b="1">
                <a:solidFill>
                  <a:sysClr val="windowText" lastClr="000000"/>
                </a:solidFill>
              </a:rPr>
              <a:t>Revenue, Gross Profit and EBITDA</a:t>
            </a:r>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stacked"/>
        <c:varyColors val="0"/>
        <c:ser>
          <c:idx val="0"/>
          <c:order val="0"/>
          <c:tx>
            <c:strRef>
              <c:f>DashboardData!$B$1</c:f>
              <c:strCache>
                <c:ptCount val="1"/>
                <c:pt idx="0">
                  <c:v>Revenue</c:v>
                </c:pt>
              </c:strCache>
            </c:strRef>
          </c:tx>
          <c:spPr>
            <a:solidFill>
              <a:schemeClr val="accent1">
                <a:tint val="65000"/>
              </a:schemeClr>
            </a:solidFill>
            <a:ln>
              <a:noFill/>
            </a:ln>
            <a:effectLst/>
          </c:spPr>
          <c:invertIfNegative val="0"/>
          <c:cat>
            <c:numRef>
              <c:f>DashboardData!$A$2:$A$12</c:f>
              <c:numCache>
                <c:formatCode>"FY"0"A"</c:formatCode>
                <c:ptCount val="11"/>
                <c:pt idx="0">
                  <c:v>20</c:v>
                </c:pt>
                <c:pt idx="1">
                  <c:v>21</c:v>
                </c:pt>
                <c:pt idx="2">
                  <c:v>22</c:v>
                </c:pt>
                <c:pt idx="3">
                  <c:v>23</c:v>
                </c:pt>
                <c:pt idx="4">
                  <c:v>24</c:v>
                </c:pt>
                <c:pt idx="5">
                  <c:v>25</c:v>
                </c:pt>
                <c:pt idx="6">
                  <c:v>26</c:v>
                </c:pt>
                <c:pt idx="7" formatCode="&quot;FY&quot;0&quot;E&quot;">
                  <c:v>27</c:v>
                </c:pt>
                <c:pt idx="8" formatCode="&quot;FY&quot;0&quot;E&quot;">
                  <c:v>28</c:v>
                </c:pt>
                <c:pt idx="9" formatCode="&quot;FY&quot;0&quot;E&quot;">
                  <c:v>29</c:v>
                </c:pt>
                <c:pt idx="10" formatCode="&quot;FY&quot;0&quot;E&quot;">
                  <c:v>30</c:v>
                </c:pt>
              </c:numCache>
            </c:numRef>
          </c:cat>
          <c:val>
            <c:numRef>
              <c:f>DashboardData!$B$2:$B$12</c:f>
              <c:numCache>
                <c:formatCode>"₹"\ #,##0\ "Cr."</c:formatCode>
                <c:ptCount val="11"/>
                <c:pt idx="0">
                  <c:v>20211.25</c:v>
                </c:pt>
                <c:pt idx="1">
                  <c:v>21712.79</c:v>
                </c:pt>
                <c:pt idx="2">
                  <c:v>29101.279999999999</c:v>
                </c:pt>
                <c:pt idx="3">
                  <c:v>34488.590000000004</c:v>
                </c:pt>
                <c:pt idx="4">
                  <c:v>35494.729999999996</c:v>
                </c:pt>
                <c:pt idx="5">
                  <c:v>33905.620000000003</c:v>
                </c:pt>
                <c:pt idx="6">
                  <c:v>35583.54</c:v>
                </c:pt>
                <c:pt idx="7">
                  <c:v>38834.811316644591</c:v>
                </c:pt>
                <c:pt idx="8">
                  <c:v>42384.849919173204</c:v>
                </c:pt>
                <c:pt idx="9">
                  <c:v>46260.995269682368</c:v>
                </c:pt>
                <c:pt idx="10">
                  <c:v>50493.096339668758</c:v>
                </c:pt>
              </c:numCache>
            </c:numRef>
          </c:val>
          <c:extLst>
            <c:ext xmlns:c16="http://schemas.microsoft.com/office/drawing/2014/chart" uri="{C3380CC4-5D6E-409C-BE32-E72D297353CC}">
              <c16:uniqueId val="{00000000-BF13-413C-A21B-B55819392E06}"/>
            </c:ext>
          </c:extLst>
        </c:ser>
        <c:ser>
          <c:idx val="1"/>
          <c:order val="1"/>
          <c:tx>
            <c:strRef>
              <c:f>DashboardData!$C$1</c:f>
              <c:strCache>
                <c:ptCount val="1"/>
                <c:pt idx="0">
                  <c:v>Gross Profit</c:v>
                </c:pt>
              </c:strCache>
            </c:strRef>
          </c:tx>
          <c:spPr>
            <a:solidFill>
              <a:schemeClr val="accent1"/>
            </a:solidFill>
            <a:ln>
              <a:noFill/>
            </a:ln>
            <a:effectLst/>
          </c:spPr>
          <c:invertIfNegative val="0"/>
          <c:cat>
            <c:numRef>
              <c:f>DashboardData!$A$2:$A$12</c:f>
              <c:numCache>
                <c:formatCode>"FY"0"A"</c:formatCode>
                <c:ptCount val="11"/>
                <c:pt idx="0">
                  <c:v>20</c:v>
                </c:pt>
                <c:pt idx="1">
                  <c:v>21</c:v>
                </c:pt>
                <c:pt idx="2">
                  <c:v>22</c:v>
                </c:pt>
                <c:pt idx="3">
                  <c:v>23</c:v>
                </c:pt>
                <c:pt idx="4">
                  <c:v>24</c:v>
                </c:pt>
                <c:pt idx="5">
                  <c:v>25</c:v>
                </c:pt>
                <c:pt idx="6">
                  <c:v>26</c:v>
                </c:pt>
                <c:pt idx="7" formatCode="&quot;FY&quot;0&quot;E&quot;">
                  <c:v>27</c:v>
                </c:pt>
                <c:pt idx="8" formatCode="&quot;FY&quot;0&quot;E&quot;">
                  <c:v>28</c:v>
                </c:pt>
                <c:pt idx="9" formatCode="&quot;FY&quot;0&quot;E&quot;">
                  <c:v>29</c:v>
                </c:pt>
                <c:pt idx="10" formatCode="&quot;FY&quot;0&quot;E&quot;">
                  <c:v>30</c:v>
                </c:pt>
              </c:numCache>
            </c:numRef>
          </c:cat>
          <c:val>
            <c:numRef>
              <c:f>DashboardData!$C$2:$C$12</c:f>
              <c:numCache>
                <c:formatCode>"₹"\ #,##0\ "Cr."</c:formatCode>
                <c:ptCount val="11"/>
                <c:pt idx="0">
                  <c:v>8827.7899999999991</c:v>
                </c:pt>
                <c:pt idx="1">
                  <c:v>9615.5600000000013</c:v>
                </c:pt>
                <c:pt idx="2">
                  <c:v>10800.529999999999</c:v>
                </c:pt>
                <c:pt idx="3">
                  <c:v>13332.09</c:v>
                </c:pt>
                <c:pt idx="4">
                  <c:v>15404.519999999997</c:v>
                </c:pt>
                <c:pt idx="5">
                  <c:v>14389.840000000004</c:v>
                </c:pt>
                <c:pt idx="6">
                  <c:v>15581.760000000002</c:v>
                </c:pt>
                <c:pt idx="7">
                  <c:v>16235.97830656149</c:v>
                </c:pt>
                <c:pt idx="8">
                  <c:v>17720.171168170851</c:v>
                </c:pt>
                <c:pt idx="9">
                  <c:v>19340.702070479445</c:v>
                </c:pt>
                <c:pt idx="10">
                  <c:v>21110.050210302248</c:v>
                </c:pt>
              </c:numCache>
            </c:numRef>
          </c:val>
          <c:extLst>
            <c:ext xmlns:c16="http://schemas.microsoft.com/office/drawing/2014/chart" uri="{C3380CC4-5D6E-409C-BE32-E72D297353CC}">
              <c16:uniqueId val="{00000001-BF13-413C-A21B-B55819392E06}"/>
            </c:ext>
          </c:extLst>
        </c:ser>
        <c:dLbls>
          <c:showLegendKey val="0"/>
          <c:showVal val="0"/>
          <c:showCatName val="0"/>
          <c:showSerName val="0"/>
          <c:showPercent val="0"/>
          <c:showBubbleSize val="0"/>
        </c:dLbls>
        <c:gapWidth val="219"/>
        <c:overlap val="100"/>
        <c:axId val="1202467024"/>
        <c:axId val="1202464624"/>
      </c:barChart>
      <c:lineChart>
        <c:grouping val="standard"/>
        <c:varyColors val="0"/>
        <c:ser>
          <c:idx val="2"/>
          <c:order val="2"/>
          <c:tx>
            <c:strRef>
              <c:f>DashboardData!$D$1</c:f>
              <c:strCache>
                <c:ptCount val="1"/>
                <c:pt idx="0">
                  <c:v>EBITDA</c:v>
                </c:pt>
              </c:strCache>
            </c:strRef>
          </c:tx>
          <c:spPr>
            <a:ln w="28575" cap="rnd">
              <a:solidFill>
                <a:schemeClr val="accent1">
                  <a:shade val="65000"/>
                </a:schemeClr>
              </a:solidFill>
              <a:round/>
            </a:ln>
            <a:effectLst/>
          </c:spPr>
          <c:marker>
            <c:symbol val="circle"/>
            <c:size val="5"/>
            <c:spPr>
              <a:solidFill>
                <a:schemeClr val="accent1">
                  <a:shade val="65000"/>
                </a:schemeClr>
              </a:solidFill>
              <a:ln w="9525">
                <a:solidFill>
                  <a:schemeClr val="accent1">
                    <a:shade val="65000"/>
                  </a:schemeClr>
                </a:solidFill>
              </a:ln>
              <a:effectLst/>
            </c:spPr>
          </c:marker>
          <c:val>
            <c:numRef>
              <c:f>DashboardData!$D$2:$D$12</c:f>
              <c:numCache>
                <c:formatCode>"₹"\ #,##0\ "Cr."</c:formatCode>
                <c:ptCount val="11"/>
                <c:pt idx="0">
                  <c:v>4466.079999999999</c:v>
                </c:pt>
                <c:pt idx="1">
                  <c:v>5158.6500000000005</c:v>
                </c:pt>
                <c:pt idx="2">
                  <c:v>5183.619999999999</c:v>
                </c:pt>
                <c:pt idx="3">
                  <c:v>6646.32</c:v>
                </c:pt>
                <c:pt idx="4">
                  <c:v>8272.9399999999969</c:v>
                </c:pt>
                <c:pt idx="5">
                  <c:v>6578.8200000000052</c:v>
                </c:pt>
                <c:pt idx="6">
                  <c:v>7419.7200000000012</c:v>
                </c:pt>
                <c:pt idx="7">
                  <c:v>7894.2499852784204</c:v>
                </c:pt>
                <c:pt idx="8">
                  <c:v>8542.4418231832096</c:v>
                </c:pt>
                <c:pt idx="9">
                  <c:v>9241.9236168881416</c:v>
                </c:pt>
                <c:pt idx="10">
                  <c:v>9996.4904837723752</c:v>
                </c:pt>
              </c:numCache>
            </c:numRef>
          </c:val>
          <c:smooth val="0"/>
          <c:extLst>
            <c:ext xmlns:c16="http://schemas.microsoft.com/office/drawing/2014/chart" uri="{C3380CC4-5D6E-409C-BE32-E72D297353CC}">
              <c16:uniqueId val="{00000002-BF13-413C-A21B-B55819392E06}"/>
            </c:ext>
          </c:extLst>
        </c:ser>
        <c:dLbls>
          <c:showLegendKey val="0"/>
          <c:showVal val="0"/>
          <c:showCatName val="0"/>
          <c:showSerName val="0"/>
          <c:showPercent val="0"/>
          <c:showBubbleSize val="0"/>
        </c:dLbls>
        <c:marker val="1"/>
        <c:smooth val="0"/>
        <c:axId val="1202475184"/>
        <c:axId val="1202452624"/>
      </c:lineChart>
      <c:catAx>
        <c:axId val="1202467024"/>
        <c:scaling>
          <c:orientation val="minMax"/>
        </c:scaling>
        <c:delete val="0"/>
        <c:axPos val="b"/>
        <c:numFmt formatCode="&quot;FY&quot;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02464624"/>
        <c:crosses val="autoZero"/>
        <c:auto val="1"/>
        <c:lblAlgn val="ctr"/>
        <c:lblOffset val="100"/>
        <c:noMultiLvlLbl val="0"/>
      </c:catAx>
      <c:valAx>
        <c:axId val="1202464624"/>
        <c:scaling>
          <c:orientation val="minMax"/>
        </c:scaling>
        <c:delete val="0"/>
        <c:axPos val="l"/>
        <c:numFmt formatCode="&quot;₹&quot;\ #,##0\ &quot;Cr.&quot;"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02467024"/>
        <c:crosses val="autoZero"/>
        <c:crossBetween val="between"/>
      </c:valAx>
      <c:valAx>
        <c:axId val="1202452624"/>
        <c:scaling>
          <c:orientation val="minMax"/>
        </c:scaling>
        <c:delete val="0"/>
        <c:axPos val="r"/>
        <c:numFmt formatCode="&quot;₹&quot;\ #,##0\ &quot;Cr.&quot;"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02475184"/>
        <c:crosses val="max"/>
        <c:crossBetween val="between"/>
      </c:valAx>
      <c:catAx>
        <c:axId val="1202475184"/>
        <c:scaling>
          <c:orientation val="minMax"/>
        </c:scaling>
        <c:delete val="1"/>
        <c:axPos val="b"/>
        <c:majorTickMark val="out"/>
        <c:minorTickMark val="none"/>
        <c:tickLblPos val="nextTo"/>
        <c:crossAx val="1202452624"/>
        <c:crosses val="autoZero"/>
        <c:auto val="1"/>
        <c:lblAlgn val="ctr"/>
        <c:lblOffset val="100"/>
        <c:noMultiLvlLbl val="0"/>
      </c:catAx>
      <c:spPr>
        <a:solidFill>
          <a:srgbClr val="F1EDF7"/>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EDF7"/>
    </a:solidFill>
    <a:ln w="9525" cap="flat" cmpd="sng" algn="ctr">
      <a:noFill/>
      <a:round/>
    </a:ln>
    <a:effectLst/>
  </c:spPr>
  <c:txPr>
    <a:bodyPr/>
    <a:lstStyle/>
    <a:p>
      <a:pPr>
        <a:defRPr>
          <a:solidFill>
            <a:srgbClr val="F1EDF7"/>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4047618409305994E-2"/>
          <c:y val="5.7727821380120552E-2"/>
          <c:w val="0.93190476318138804"/>
          <c:h val="0.81593544070873392"/>
        </c:manualLayout>
      </c:layout>
      <c:barChart>
        <c:barDir val="col"/>
        <c:grouping val="clustered"/>
        <c:varyColors val="0"/>
        <c:ser>
          <c:idx val="0"/>
          <c:order val="0"/>
          <c:tx>
            <c:strRef>
              <c:f>DashboardData!$B$23</c:f>
              <c:strCache>
                <c:ptCount val="1"/>
                <c:pt idx="0">
                  <c:v>Weightage</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DashboardData!$A$24:$A$25</c:f>
              <c:strCache>
                <c:ptCount val="2"/>
                <c:pt idx="0">
                  <c:v>Debt</c:v>
                </c:pt>
                <c:pt idx="1">
                  <c:v>Equity</c:v>
                </c:pt>
              </c:strCache>
            </c:strRef>
          </c:cat>
          <c:val>
            <c:numRef>
              <c:f>DashboardData!$B$24:$B$25</c:f>
              <c:numCache>
                <c:formatCode>0%</c:formatCode>
                <c:ptCount val="2"/>
                <c:pt idx="0">
                  <c:v>0.12</c:v>
                </c:pt>
                <c:pt idx="1">
                  <c:v>0.88</c:v>
                </c:pt>
              </c:numCache>
            </c:numRef>
          </c:val>
          <c:extLst>
            <c:ext xmlns:c16="http://schemas.microsoft.com/office/drawing/2014/chart" uri="{C3380CC4-5D6E-409C-BE32-E72D297353CC}">
              <c16:uniqueId val="{00000000-A5D8-4E30-976D-1D785B066DB6}"/>
            </c:ext>
          </c:extLst>
        </c:ser>
        <c:ser>
          <c:idx val="1"/>
          <c:order val="1"/>
          <c:tx>
            <c:strRef>
              <c:f>DashboardData!$C$23</c:f>
              <c:strCache>
                <c:ptCount val="1"/>
                <c:pt idx="0">
                  <c:v>Cost </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DashboardData!$A$24:$A$25</c:f>
              <c:strCache>
                <c:ptCount val="2"/>
                <c:pt idx="0">
                  <c:v>Debt</c:v>
                </c:pt>
                <c:pt idx="1">
                  <c:v>Equity</c:v>
                </c:pt>
              </c:strCache>
            </c:strRef>
          </c:cat>
          <c:val>
            <c:numRef>
              <c:f>DashboardData!$C$24:$C$25</c:f>
              <c:numCache>
                <c:formatCode>0.00%</c:formatCode>
                <c:ptCount val="2"/>
                <c:pt idx="0">
                  <c:v>4.7100000000000003E-2</c:v>
                </c:pt>
                <c:pt idx="1">
                  <c:v>0.129</c:v>
                </c:pt>
              </c:numCache>
            </c:numRef>
          </c:val>
          <c:extLst>
            <c:ext xmlns:c16="http://schemas.microsoft.com/office/drawing/2014/chart" uri="{C3380CC4-5D6E-409C-BE32-E72D297353CC}">
              <c16:uniqueId val="{00000001-A5D8-4E30-976D-1D785B066DB6}"/>
            </c:ext>
          </c:extLst>
        </c:ser>
        <c:dLbls>
          <c:dLblPos val="outEnd"/>
          <c:showLegendKey val="0"/>
          <c:showVal val="1"/>
          <c:showCatName val="0"/>
          <c:showSerName val="0"/>
          <c:showPercent val="0"/>
          <c:showBubbleSize val="0"/>
        </c:dLbls>
        <c:gapWidth val="223"/>
        <c:overlap val="-24"/>
        <c:axId val="1202467984"/>
        <c:axId val="1202468464"/>
      </c:barChart>
      <c:catAx>
        <c:axId val="1202467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02468464"/>
        <c:crosses val="autoZero"/>
        <c:auto val="1"/>
        <c:lblAlgn val="ctr"/>
        <c:lblOffset val="100"/>
        <c:noMultiLvlLbl val="0"/>
      </c:catAx>
      <c:valAx>
        <c:axId val="1202468464"/>
        <c:scaling>
          <c:orientation val="minMax"/>
        </c:scaling>
        <c:delete val="1"/>
        <c:axPos val="l"/>
        <c:numFmt formatCode="0%" sourceLinked="1"/>
        <c:majorTickMark val="out"/>
        <c:minorTickMark val="none"/>
        <c:tickLblPos val="nextTo"/>
        <c:crossAx val="1202467984"/>
        <c:crosses val="autoZero"/>
        <c:crossBetween val="between"/>
      </c:valAx>
      <c:spPr>
        <a:solidFill>
          <a:srgbClr val="F1EDF7"/>
        </a:solidFill>
        <a:ln>
          <a:noFill/>
        </a:ln>
        <a:effectLst/>
      </c:spPr>
    </c:plotArea>
    <c:legend>
      <c:legendPos val="b"/>
      <c:layout>
        <c:manualLayout>
          <c:xMode val="edge"/>
          <c:yMode val="edge"/>
          <c:x val="0"/>
          <c:y val="0.15048200871330594"/>
          <c:w val="0.30902174148815637"/>
          <c:h val="0.12529623215427255"/>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EDF7"/>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[04_ASIAN PAINTS LTD. FINANCIAL MODELLING.xlsx]DashboardData!PivotTable1</c:name>
    <c:fmtId val="15"/>
  </c:pivotSource>
  <c:chart>
    <c:autoTitleDeleted val="1"/>
    <c:pivotFmts>
      <c:pivotFmt>
        <c:idx val="0"/>
        <c:spPr>
          <a:solidFill>
            <a:srgbClr val="E24B0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24B0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24B0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DashboardData!$Q$3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DashboardData!$P$4:$P$9</c:f>
              <c:strCache>
                <c:ptCount val="6"/>
                <c:pt idx="0">
                  <c:v> PAT Margin</c:v>
                </c:pt>
                <c:pt idx="1">
                  <c:v>ROA %</c:v>
                </c:pt>
                <c:pt idx="2">
                  <c:v> EBITDA Margin</c:v>
                </c:pt>
                <c:pt idx="3">
                  <c:v>ROE % </c:v>
                </c:pt>
                <c:pt idx="4">
                  <c:v> ROCE %</c:v>
                </c:pt>
                <c:pt idx="5">
                  <c:v>Gross Profit %</c:v>
                </c:pt>
              </c:strCache>
            </c:strRef>
          </c:cat>
          <c:val>
            <c:numRef>
              <c:f>DashboardData!$Q$4:$Q$9</c:f>
              <c:numCache>
                <c:formatCode>0.00%</c:formatCode>
                <c:ptCount val="6"/>
                <c:pt idx="0">
                  <c:v>0.10600255383955619</c:v>
                </c:pt>
                <c:pt idx="1">
                  <c:v>0.13421291351326656</c:v>
                </c:pt>
                <c:pt idx="2">
                  <c:v>0.17812343649488954</c:v>
                </c:pt>
                <c:pt idx="3">
                  <c:v>0.21942271546443706</c:v>
                </c:pt>
                <c:pt idx="4">
                  <c:v>0.31064345886431172</c:v>
                </c:pt>
                <c:pt idx="5">
                  <c:v>0.37113590879851333</c:v>
                </c:pt>
              </c:numCache>
            </c:numRef>
          </c:val>
          <c:extLst>
            <c:ext xmlns:c16="http://schemas.microsoft.com/office/drawing/2014/chart" uri="{C3380CC4-5D6E-409C-BE32-E72D297353CC}">
              <c16:uniqueId val="{00000001-FF8E-4D68-9747-18D7D7C1812C}"/>
            </c:ext>
          </c:extLst>
        </c:ser>
        <c:dLbls>
          <c:dLblPos val="outEnd"/>
          <c:showLegendKey val="0"/>
          <c:showVal val="1"/>
          <c:showCatName val="0"/>
          <c:showSerName val="0"/>
          <c:showPercent val="0"/>
          <c:showBubbleSize val="0"/>
        </c:dLbls>
        <c:gapWidth val="86"/>
        <c:axId val="977420928"/>
        <c:axId val="977421408"/>
      </c:barChart>
      <c:catAx>
        <c:axId val="977420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77421408"/>
        <c:crosses val="autoZero"/>
        <c:auto val="1"/>
        <c:lblAlgn val="ctr"/>
        <c:lblOffset val="100"/>
        <c:noMultiLvlLbl val="0"/>
      </c:catAx>
      <c:valAx>
        <c:axId val="977421408"/>
        <c:scaling>
          <c:orientation val="minMax"/>
        </c:scaling>
        <c:delete val="1"/>
        <c:axPos val="b"/>
        <c:numFmt formatCode="0.00%" sourceLinked="1"/>
        <c:majorTickMark val="none"/>
        <c:minorTickMark val="none"/>
        <c:tickLblPos val="nextTo"/>
        <c:crossAx val="97742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EDF7"/>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[04_ASIAN PAINTS LTD. FINANCIAL MODELLING.xlsx]DashboardData!PivotTable6</c:name>
    <c:fmtId val="29"/>
  </c:pivotSource>
  <c:chart>
    <c:autoTitleDeleted val="1"/>
    <c:pivotFmts>
      <c:pivotFmt>
        <c:idx val="0"/>
        <c:spPr>
          <a:solidFill>
            <a:srgbClr val="E24B0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24B0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24B0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DashboardData!$N$3</c:f>
              <c:strCache>
                <c:ptCount val="1"/>
                <c:pt idx="0">
                  <c:v>Total</c:v>
                </c:pt>
              </c:strCache>
            </c:strRef>
          </c:tx>
          <c:spPr>
            <a:solidFill>
              <a:srgbClr val="E24B0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DashboardData!$M$4:$M$7</c:f>
              <c:strCache>
                <c:ptCount val="4"/>
                <c:pt idx="0">
                  <c:v> Revenue</c:v>
                </c:pt>
                <c:pt idx="1">
                  <c:v> Gross Profit</c:v>
                </c:pt>
                <c:pt idx="2">
                  <c:v> EBITDA</c:v>
                </c:pt>
                <c:pt idx="3">
                  <c:v> Profit After Tax</c:v>
                </c:pt>
              </c:strCache>
            </c:strRef>
          </c:cat>
          <c:val>
            <c:numRef>
              <c:f>DashboardData!$N$4:$N$7</c:f>
              <c:numCache>
                <c:formatCode>"₹"\ #,##0.00,\k\ "Cr."</c:formatCode>
                <c:ptCount val="4"/>
                <c:pt idx="0">
                  <c:v>29101.279999999999</c:v>
                </c:pt>
                <c:pt idx="1">
                  <c:v>10800.529999999999</c:v>
                </c:pt>
                <c:pt idx="2">
                  <c:v>5183.619999999999</c:v>
                </c:pt>
                <c:pt idx="3">
                  <c:v>3084.8099999999995</c:v>
                </c:pt>
              </c:numCache>
            </c:numRef>
          </c:val>
          <c:extLst>
            <c:ext xmlns:c16="http://schemas.microsoft.com/office/drawing/2014/chart" uri="{C3380CC4-5D6E-409C-BE32-E72D297353CC}">
              <c16:uniqueId val="{00000000-C39E-43B9-98A8-0D5861FA0929}"/>
            </c:ext>
          </c:extLst>
        </c:ser>
        <c:dLbls>
          <c:dLblPos val="outEnd"/>
          <c:showLegendKey val="0"/>
          <c:showVal val="1"/>
          <c:showCatName val="0"/>
          <c:showSerName val="0"/>
          <c:showPercent val="0"/>
          <c:showBubbleSize val="0"/>
        </c:dLbls>
        <c:gapWidth val="219"/>
        <c:overlap val="-27"/>
        <c:axId val="343556464"/>
        <c:axId val="343556944"/>
      </c:barChart>
      <c:catAx>
        <c:axId val="3435564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43556944"/>
        <c:crosses val="autoZero"/>
        <c:auto val="1"/>
        <c:lblAlgn val="ctr"/>
        <c:lblOffset val="100"/>
        <c:noMultiLvlLbl val="0"/>
      </c:catAx>
      <c:valAx>
        <c:axId val="343556944"/>
        <c:scaling>
          <c:orientation val="minMax"/>
        </c:scaling>
        <c:delete val="1"/>
        <c:axPos val="l"/>
        <c:numFmt formatCode="&quot;₹&quot;\ #,##0.00,\k\ &quot;Cr.&quot;" sourceLinked="1"/>
        <c:majorTickMark val="none"/>
        <c:minorTickMark val="none"/>
        <c:tickLblPos val="nextTo"/>
        <c:crossAx val="34355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EDF7"/>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in</a:t>
            </a:r>
            <a:r>
              <a:rPr lang="en-IN" b="1" baseline="0">
                <a:solidFill>
                  <a:sysClr val="windowText" lastClr="000000"/>
                </a:solidFill>
              </a:rPr>
              <a:t> ₹ Cr.</a:t>
            </a:r>
            <a:endParaRPr lang="en-IN" b="1">
              <a:solidFill>
                <a:sysClr val="windowText" lastClr="000000"/>
              </a:solidFill>
            </a:endParaRPr>
          </a:p>
        </c:rich>
      </c:tx>
      <c:layout>
        <c:manualLayout>
          <c:xMode val="edge"/>
          <c:yMode val="edge"/>
          <c:x val="8.224272921409299E-3"/>
          <c:y val="1.15498329821395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5.8716682678344196E-3"/>
          <c:y val="3.2514159542419895E-2"/>
          <c:w val="0.91004758819455311"/>
          <c:h val="0.6442264352166267"/>
        </c:manualLayout>
      </c:layout>
      <c:barChart>
        <c:barDir val="col"/>
        <c:grouping val="stacked"/>
        <c:varyColors val="0"/>
        <c:ser>
          <c:idx val="0"/>
          <c:order val="0"/>
          <c:tx>
            <c:strRef>
              <c:f>'Sensitivity Analysis'!$B$10</c:f>
              <c:strCache>
                <c:ptCount val="1"/>
                <c:pt idx="0">
                  <c:v>Operating Revenue</c:v>
                </c:pt>
              </c:strCache>
            </c:strRef>
          </c:tx>
          <c:spPr>
            <a:solidFill>
              <a:schemeClr val="accent2">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'Sensitivity Analysis'!$G$9:$J$9</c:f>
              <c:numCache>
                <c:formatCode>"FY"###0"E"</c:formatCode>
                <c:ptCount val="4"/>
                <c:pt idx="0">
                  <c:v>27</c:v>
                </c:pt>
                <c:pt idx="1">
                  <c:v>28</c:v>
                </c:pt>
                <c:pt idx="2">
                  <c:v>29</c:v>
                </c:pt>
                <c:pt idx="3">
                  <c:v>30</c:v>
                </c:pt>
              </c:numCache>
            </c:numRef>
          </c:cat>
          <c:val>
            <c:numRef>
              <c:f>'Sensitivity Analysis'!$G$10:$J$10</c:f>
              <c:numCache>
                <c:formatCode>#,##0.00;\(#,##0.00\);\-</c:formatCode>
                <c:ptCount val="4"/>
                <c:pt idx="0">
                  <c:v>40921.070999999996</c:v>
                </c:pt>
                <c:pt idx="1">
                  <c:v>47059.231649999994</c:v>
                </c:pt>
                <c:pt idx="2">
                  <c:v>54118.116397499987</c:v>
                </c:pt>
                <c:pt idx="3">
                  <c:v>62235.833857124977</c:v>
                </c:pt>
              </c:numCache>
            </c:numRef>
          </c:val>
          <c:extLst>
            <c:ext xmlns:c16="http://schemas.microsoft.com/office/drawing/2014/chart" uri="{C3380CC4-5D6E-409C-BE32-E72D297353CC}">
              <c16:uniqueId val="{00000000-3FF4-4F9C-9310-643C91BA8D3C}"/>
            </c:ext>
          </c:extLst>
        </c:ser>
        <c:ser>
          <c:idx val="1"/>
          <c:order val="1"/>
          <c:tx>
            <c:strRef>
              <c:f>'Sensitivity Analysis'!$B$11</c:f>
              <c:strCache>
                <c:ptCount val="1"/>
                <c:pt idx="0">
                  <c:v>Earnings Before Interest and  Tax (EBIT)</c:v>
                </c:pt>
              </c:strCache>
            </c:strRef>
          </c:tx>
          <c:spPr>
            <a:solidFill>
              <a:schemeClr val="accent2"/>
            </a:solidFill>
            <a:ln>
              <a:noFill/>
            </a:ln>
            <a:effectLst/>
          </c:spPr>
          <c:invertIfNegative val="0"/>
          <c:dLbls>
            <c:dLbl>
              <c:idx val="1"/>
              <c:numFmt formatCode="#,##0.0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1763843596190674"/>
                      <c:h val="0.1268749153088034"/>
                    </c:manualLayout>
                  </c15:layout>
                </c:ext>
                <c:ext xmlns:c16="http://schemas.microsoft.com/office/drawing/2014/chart" uri="{C3380CC4-5D6E-409C-BE32-E72D297353CC}">
                  <c16:uniqueId val="{00000002-FF33-40A5-9138-9D502C2CDCE0}"/>
                </c:ext>
              </c:extLst>
            </c:dLbl>
            <c:dLbl>
              <c:idx val="2"/>
              <c:numFmt formatCode="#,##0.0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1064491295541873"/>
                      <c:h val="0.10955016583559404"/>
                    </c:manualLayout>
                  </c15:layout>
                </c:ext>
                <c:ext xmlns:c16="http://schemas.microsoft.com/office/drawing/2014/chart" uri="{C3380CC4-5D6E-409C-BE32-E72D297353CC}">
                  <c16:uniqueId val="{00000001-FF33-40A5-9138-9D502C2CDCE0}"/>
                </c:ext>
              </c:extLst>
            </c:dLbl>
            <c:dLbl>
              <c:idx val="3"/>
              <c:numFmt formatCode="#,##0.0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0015462844568674"/>
                      <c:h val="0.11532508232666383"/>
                    </c:manualLayout>
                  </c15:layout>
                </c:ext>
                <c:ext xmlns:c16="http://schemas.microsoft.com/office/drawing/2014/chart" uri="{C3380CC4-5D6E-409C-BE32-E72D297353CC}">
                  <c16:uniqueId val="{00000000-FF33-40A5-9138-9D502C2CDCE0}"/>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'Sensitivity Analysis'!$G$9:$J$9</c:f>
              <c:numCache>
                <c:formatCode>"FY"###0"E"</c:formatCode>
                <c:ptCount val="4"/>
                <c:pt idx="0">
                  <c:v>27</c:v>
                </c:pt>
                <c:pt idx="1">
                  <c:v>28</c:v>
                </c:pt>
                <c:pt idx="2">
                  <c:v>29</c:v>
                </c:pt>
                <c:pt idx="3">
                  <c:v>30</c:v>
                </c:pt>
              </c:numCache>
            </c:numRef>
          </c:cat>
          <c:val>
            <c:numRef>
              <c:f>'Sensitivity Analysis'!$G$11:$J$11</c:f>
              <c:numCache>
                <c:formatCode>#,##0.00;\(#,##0.00\);\-</c:formatCode>
                <c:ptCount val="4"/>
                <c:pt idx="0">
                  <c:v>10230.267749999999</c:v>
                </c:pt>
                <c:pt idx="1">
                  <c:v>11764.807912499999</c:v>
                </c:pt>
                <c:pt idx="2">
                  <c:v>13529.529099374997</c:v>
                </c:pt>
                <c:pt idx="3">
                  <c:v>15558.958464281244</c:v>
                </c:pt>
              </c:numCache>
            </c:numRef>
          </c:val>
          <c:extLst>
            <c:ext xmlns:c16="http://schemas.microsoft.com/office/drawing/2014/chart" uri="{C3380CC4-5D6E-409C-BE32-E72D297353CC}">
              <c16:uniqueId val="{00000001-3FF4-4F9C-9310-643C91BA8D3C}"/>
            </c:ext>
          </c:extLst>
        </c:ser>
        <c:ser>
          <c:idx val="2"/>
          <c:order val="2"/>
          <c:tx>
            <c:strRef>
              <c:f>'Sensitivity Analysis'!$B$19</c:f>
              <c:strCache>
                <c:ptCount val="1"/>
                <c:pt idx="0">
                  <c:v>FREE CASH FLOW TO FIRM (FCFF)</c:v>
                </c:pt>
              </c:strCache>
            </c:strRef>
          </c:tx>
          <c:spPr>
            <a:solidFill>
              <a:schemeClr val="accent2">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'Sensitivity Analysis'!$G$9:$J$9</c:f>
              <c:numCache>
                <c:formatCode>"FY"###0"E"</c:formatCode>
                <c:ptCount val="4"/>
                <c:pt idx="0">
                  <c:v>27</c:v>
                </c:pt>
                <c:pt idx="1">
                  <c:v>28</c:v>
                </c:pt>
                <c:pt idx="2">
                  <c:v>29</c:v>
                </c:pt>
                <c:pt idx="3">
                  <c:v>30</c:v>
                </c:pt>
              </c:numCache>
            </c:numRef>
          </c:cat>
          <c:val>
            <c:numRef>
              <c:f>'Sensitivity Analysis'!$G$19:$J$19</c:f>
              <c:numCache>
                <c:formatCode>#,##0.00;\(#,##0.00\);\-</c:formatCode>
                <c:ptCount val="4"/>
                <c:pt idx="0">
                  <c:v>6822.1904156895416</c:v>
                </c:pt>
                <c:pt idx="1">
                  <c:v>7761.1938384956811</c:v>
                </c:pt>
                <c:pt idx="2">
                  <c:v>8979.5536245615822</c:v>
                </c:pt>
                <c:pt idx="3">
                  <c:v>10385.066076840647</c:v>
                </c:pt>
              </c:numCache>
            </c:numRef>
          </c:val>
          <c:extLst>
            <c:ext xmlns:c16="http://schemas.microsoft.com/office/drawing/2014/chart" uri="{C3380CC4-5D6E-409C-BE32-E72D297353CC}">
              <c16:uniqueId val="{00000002-3FF4-4F9C-9310-643C91BA8D3C}"/>
            </c:ext>
          </c:extLst>
        </c:ser>
        <c:dLbls>
          <c:dLblPos val="inBase"/>
          <c:showLegendKey val="0"/>
          <c:showVal val="1"/>
          <c:showCatName val="0"/>
          <c:showSerName val="0"/>
          <c:showPercent val="0"/>
          <c:showBubbleSize val="0"/>
        </c:dLbls>
        <c:gapWidth val="219"/>
        <c:overlap val="100"/>
        <c:axId val="525411104"/>
        <c:axId val="525398624"/>
      </c:barChart>
      <c:catAx>
        <c:axId val="525411104"/>
        <c:scaling>
          <c:orientation val="minMax"/>
        </c:scaling>
        <c:delete val="0"/>
        <c:axPos val="b"/>
        <c:numFmt formatCode="&quot;FY&quot;###0&quot;E&quot;"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25398624"/>
        <c:crosses val="autoZero"/>
        <c:auto val="1"/>
        <c:lblAlgn val="ctr"/>
        <c:lblOffset val="100"/>
        <c:noMultiLvlLbl val="0"/>
      </c:catAx>
      <c:valAx>
        <c:axId val="525398624"/>
        <c:scaling>
          <c:orientation val="minMax"/>
        </c:scaling>
        <c:delete val="1"/>
        <c:axPos val="l"/>
        <c:numFmt formatCode="#,##0.00;\(#,##0.00\);\-" sourceLinked="1"/>
        <c:majorTickMark val="out"/>
        <c:minorTickMark val="none"/>
        <c:tickLblPos val="nextTo"/>
        <c:crossAx val="525411104"/>
        <c:crosses val="autoZero"/>
        <c:crossBetween val="between"/>
      </c:valAx>
      <c:spPr>
        <a:noFill/>
        <a:ln>
          <a:noFill/>
        </a:ln>
        <a:effectLst/>
      </c:spPr>
    </c:plotArea>
    <c:legend>
      <c:legendPos val="b"/>
      <c:layout>
        <c:manualLayout>
          <c:xMode val="edge"/>
          <c:yMode val="edge"/>
          <c:x val="5.3940163147546134E-2"/>
          <c:y val="0.79132859414190448"/>
          <c:w val="0.88462147553964265"/>
          <c:h val="0.1997273107633250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24B08"/>
      </a:solidFill>
      <a:round/>
    </a:ln>
    <a:effectLst/>
  </c:spPr>
  <c:txPr>
    <a:bodyPr rot="0" vert="horz"/>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512869365853552"/>
          <c:y val="0.15251566707174682"/>
          <c:w val="0.54802906414630459"/>
          <c:h val="0.74883129899683087"/>
        </c:manualLayout>
      </c:layout>
      <c:radarChart>
        <c:radarStyle val="filled"/>
        <c:varyColors val="0"/>
        <c:ser>
          <c:idx val="0"/>
          <c:order val="0"/>
          <c:spPr>
            <a:solidFill>
              <a:schemeClr val="accent1">
                <a:alpha val="50196"/>
              </a:schemeClr>
            </a:solidFill>
            <a:ln w="25400">
              <a:solidFill>
                <a:schemeClr val="accent1"/>
              </a:solidFill>
              <a:prstDash val="sysDot"/>
            </a:ln>
            <a:effectLst/>
          </c:spPr>
          <c:dLbls>
            <c:dLbl>
              <c:idx val="1"/>
              <c:layout>
                <c:manualLayout>
                  <c:x val="-2.8369748296639991E-2"/>
                  <c:y val="7.73987229090393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CF-4966-B081-DE8969CB6072}"/>
                </c:ext>
              </c:extLst>
            </c:dLbl>
            <c:dLbl>
              <c:idx val="4"/>
              <c:layout>
                <c:manualLayout>
                  <c:x val="-3.0555789469079515E-2"/>
                  <c:y val="6.44399487089902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CF-4966-B081-DE8969CB607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('Sensitivity Analysis'!$B$24,'Sensitivity Analysis'!$B$25,'Sensitivity Analysis'!$B$26,'Sensitivity Analysis'!$B$27,'Sensitivity Analysis'!$B$28)</c:f>
              <c:strCache>
                <c:ptCount val="5"/>
                <c:pt idx="0">
                  <c:v>Revenue Growth</c:v>
                </c:pt>
                <c:pt idx="1">
                  <c:v>EBIT Margin</c:v>
                </c:pt>
                <c:pt idx="2">
                  <c:v>Terminal Growth</c:v>
                </c:pt>
                <c:pt idx="3">
                  <c:v>WACC</c:v>
                </c:pt>
                <c:pt idx="4">
                  <c:v>Tax Rate</c:v>
                </c:pt>
              </c:strCache>
            </c:strRef>
          </c:cat>
          <c:val>
            <c:numRef>
              <c:f>('Sensitivity Analysis'!$D$24,'Sensitivity Analysis'!$D$25,'Sensitivity Analysis'!$D$26,'Sensitivity Analysis'!$D$27,'Sensitivity Analysis'!$D$28)</c:f>
              <c:numCache>
                <c:formatCode>0.00%</c:formatCode>
                <c:ptCount val="5"/>
                <c:pt idx="0">
                  <c:v>0.15</c:v>
                </c:pt>
                <c:pt idx="1">
                  <c:v>0.25</c:v>
                </c:pt>
                <c:pt idx="2">
                  <c:v>7.0000000000000007E-2</c:v>
                </c:pt>
                <c:pt idx="3">
                  <c:v>0.1</c:v>
                </c:pt>
                <c:pt idx="4">
                  <c:v>0.15</c:v>
                </c:pt>
              </c:numCache>
            </c:numRef>
          </c:val>
          <c:extLst>
            <c:ext xmlns:c16="http://schemas.microsoft.com/office/drawing/2014/chart" uri="{C3380CC4-5D6E-409C-BE32-E72D297353CC}">
              <c16:uniqueId val="{00000000-A4CF-4966-B081-DE8969CB6072}"/>
            </c:ext>
          </c:extLst>
        </c:ser>
        <c:dLbls>
          <c:showLegendKey val="0"/>
          <c:showVal val="1"/>
          <c:showCatName val="0"/>
          <c:showSerName val="0"/>
          <c:showPercent val="0"/>
          <c:showBubbleSize val="0"/>
        </c:dLbls>
        <c:axId val="1774569168"/>
        <c:axId val="1774569648"/>
      </c:radarChart>
      <c:catAx>
        <c:axId val="177456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74569648"/>
        <c:crosses val="autoZero"/>
        <c:auto val="1"/>
        <c:lblAlgn val="ctr"/>
        <c:lblOffset val="100"/>
        <c:noMultiLvlLbl val="0"/>
      </c:catAx>
      <c:valAx>
        <c:axId val="1774569648"/>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77456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24B08"/>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16600966657865346"/>
          <c:y val="5.5608689711709243E-2"/>
          <c:w val="0.8085863300181686"/>
          <c:h val="0.63616846305944474"/>
        </c:manualLayout>
      </c:layout>
      <c:lineChart>
        <c:grouping val="standard"/>
        <c:varyColors val="0"/>
        <c:ser>
          <c:idx val="0"/>
          <c:order val="0"/>
          <c:tx>
            <c:strRef>
              <c:f>SOPL!$B$13</c:f>
              <c:strCache>
                <c:ptCount val="1"/>
                <c:pt idx="0">
                  <c:v>REVENUE FROM OPERATIONS</c:v>
                </c:pt>
              </c:strCache>
            </c:strRef>
          </c:tx>
          <c:spPr>
            <a:ln w="22225" cap="rnd" cmpd="sng" algn="ctr">
              <a:solidFill>
                <a:schemeClr val="accent2">
                  <a:shade val="65000"/>
                </a:schemeClr>
              </a:solidFill>
              <a:round/>
            </a:ln>
            <a:effectLst/>
          </c:spPr>
          <c:marker>
            <c:symbol val="none"/>
          </c:marker>
          <c:cat>
            <c:numRef>
              <c:f>SOPL!$I$9:$S$9</c:f>
              <c:numCache>
                <c:formatCode>"FY"###0"A"</c:formatCode>
                <c:ptCount val="11"/>
                <c:pt idx="0">
                  <c:v>20</c:v>
                </c:pt>
                <c:pt idx="1">
                  <c:v>21</c:v>
                </c:pt>
                <c:pt idx="2">
                  <c:v>22</c:v>
                </c:pt>
                <c:pt idx="3">
                  <c:v>23</c:v>
                </c:pt>
                <c:pt idx="4">
                  <c:v>24</c:v>
                </c:pt>
                <c:pt idx="5">
                  <c:v>25</c:v>
                </c:pt>
                <c:pt idx="6">
                  <c:v>26</c:v>
                </c:pt>
                <c:pt idx="7" formatCode="&quot;FY&quot;###0&quot;E&quot;">
                  <c:v>27</c:v>
                </c:pt>
                <c:pt idx="8" formatCode="&quot;FY&quot;###0&quot;E&quot;">
                  <c:v>28</c:v>
                </c:pt>
                <c:pt idx="9" formatCode="&quot;FY&quot;###0&quot;E&quot;">
                  <c:v>29</c:v>
                </c:pt>
                <c:pt idx="10" formatCode="&quot;FY&quot;###0&quot;E&quot;">
                  <c:v>30</c:v>
                </c:pt>
              </c:numCache>
            </c:numRef>
          </c:cat>
          <c:val>
            <c:numRef>
              <c:f>SOPL!$I$13:$S$13</c:f>
              <c:numCache>
                <c:formatCode>#,##0.00;\(#,##0.00\);\-</c:formatCode>
                <c:ptCount val="11"/>
                <c:pt idx="0">
                  <c:v>20211.25</c:v>
                </c:pt>
                <c:pt idx="1">
                  <c:v>21712.79</c:v>
                </c:pt>
                <c:pt idx="2">
                  <c:v>29101.279999999999</c:v>
                </c:pt>
                <c:pt idx="3">
                  <c:v>34488.590000000004</c:v>
                </c:pt>
                <c:pt idx="4">
                  <c:v>35494.729999999996</c:v>
                </c:pt>
                <c:pt idx="5">
                  <c:v>33905.620000000003</c:v>
                </c:pt>
                <c:pt idx="6">
                  <c:v>35583.54</c:v>
                </c:pt>
                <c:pt idx="7">
                  <c:v>38834.811316644591</c:v>
                </c:pt>
                <c:pt idx="8">
                  <c:v>42384.849919173204</c:v>
                </c:pt>
                <c:pt idx="9">
                  <c:v>46260.995269682368</c:v>
                </c:pt>
                <c:pt idx="10">
                  <c:v>50493.096339668758</c:v>
                </c:pt>
              </c:numCache>
            </c:numRef>
          </c:val>
          <c:smooth val="0"/>
          <c:extLst>
            <c:ext xmlns:c16="http://schemas.microsoft.com/office/drawing/2014/chart" uri="{C3380CC4-5D6E-409C-BE32-E72D297353CC}">
              <c16:uniqueId val="{00000000-924C-45ED-BF3B-7FE48F9146F6}"/>
            </c:ext>
          </c:extLst>
        </c:ser>
        <c:ser>
          <c:idx val="1"/>
          <c:order val="1"/>
          <c:tx>
            <c:strRef>
              <c:f>SOPL!$B$18</c:f>
              <c:strCache>
                <c:ptCount val="1"/>
                <c:pt idx="0">
                  <c:v>GROSS MARGIN</c:v>
                </c:pt>
              </c:strCache>
            </c:strRef>
          </c:tx>
          <c:spPr>
            <a:ln w="22225" cap="rnd" cmpd="sng" algn="ctr">
              <a:solidFill>
                <a:schemeClr val="accent2"/>
              </a:solidFill>
              <a:round/>
            </a:ln>
            <a:effectLst/>
          </c:spPr>
          <c:marker>
            <c:symbol val="none"/>
          </c:marker>
          <c:cat>
            <c:numRef>
              <c:f>SOPL!$I$9:$S$9</c:f>
              <c:numCache>
                <c:formatCode>"FY"###0"A"</c:formatCode>
                <c:ptCount val="11"/>
                <c:pt idx="0">
                  <c:v>20</c:v>
                </c:pt>
                <c:pt idx="1">
                  <c:v>21</c:v>
                </c:pt>
                <c:pt idx="2">
                  <c:v>22</c:v>
                </c:pt>
                <c:pt idx="3">
                  <c:v>23</c:v>
                </c:pt>
                <c:pt idx="4">
                  <c:v>24</c:v>
                </c:pt>
                <c:pt idx="5">
                  <c:v>25</c:v>
                </c:pt>
                <c:pt idx="6">
                  <c:v>26</c:v>
                </c:pt>
                <c:pt idx="7" formatCode="&quot;FY&quot;###0&quot;E&quot;">
                  <c:v>27</c:v>
                </c:pt>
                <c:pt idx="8" formatCode="&quot;FY&quot;###0&quot;E&quot;">
                  <c:v>28</c:v>
                </c:pt>
                <c:pt idx="9" formatCode="&quot;FY&quot;###0&quot;E&quot;">
                  <c:v>29</c:v>
                </c:pt>
                <c:pt idx="10" formatCode="&quot;FY&quot;###0&quot;E&quot;">
                  <c:v>30</c:v>
                </c:pt>
              </c:numCache>
            </c:numRef>
          </c:cat>
          <c:val>
            <c:numRef>
              <c:f>SOPL!$I$18:$S$18</c:f>
              <c:numCache>
                <c:formatCode>#,##0.00;\(#,##0.00\);\-</c:formatCode>
                <c:ptCount val="11"/>
                <c:pt idx="0">
                  <c:v>8827.7899999999991</c:v>
                </c:pt>
                <c:pt idx="1">
                  <c:v>9615.5600000000013</c:v>
                </c:pt>
                <c:pt idx="2">
                  <c:v>10800.529999999999</c:v>
                </c:pt>
                <c:pt idx="3">
                  <c:v>13332.09</c:v>
                </c:pt>
                <c:pt idx="4">
                  <c:v>15404.519999999997</c:v>
                </c:pt>
                <c:pt idx="5">
                  <c:v>14389.840000000004</c:v>
                </c:pt>
                <c:pt idx="6">
                  <c:v>15581.760000000002</c:v>
                </c:pt>
                <c:pt idx="7">
                  <c:v>16235.97830656149</c:v>
                </c:pt>
                <c:pt idx="8">
                  <c:v>17720.171168170851</c:v>
                </c:pt>
                <c:pt idx="9">
                  <c:v>19340.702070479445</c:v>
                </c:pt>
                <c:pt idx="10">
                  <c:v>21110.050210302248</c:v>
                </c:pt>
              </c:numCache>
            </c:numRef>
          </c:val>
          <c:smooth val="0"/>
          <c:extLst>
            <c:ext xmlns:c16="http://schemas.microsoft.com/office/drawing/2014/chart" uri="{C3380CC4-5D6E-409C-BE32-E72D297353CC}">
              <c16:uniqueId val="{00000001-924C-45ED-BF3B-7FE48F9146F6}"/>
            </c:ext>
          </c:extLst>
        </c:ser>
        <c:ser>
          <c:idx val="2"/>
          <c:order val="2"/>
          <c:tx>
            <c:strRef>
              <c:f>SOPL!$B$22</c:f>
              <c:strCache>
                <c:ptCount val="1"/>
                <c:pt idx="0">
                  <c:v>EBITDA </c:v>
                </c:pt>
              </c:strCache>
            </c:strRef>
          </c:tx>
          <c:spPr>
            <a:ln w="22225" cap="rnd" cmpd="sng" algn="ctr">
              <a:solidFill>
                <a:schemeClr val="accent2">
                  <a:tint val="65000"/>
                </a:schemeClr>
              </a:solidFill>
              <a:round/>
            </a:ln>
            <a:effectLst/>
          </c:spPr>
          <c:marker>
            <c:symbol val="none"/>
          </c:marker>
          <c:cat>
            <c:numRef>
              <c:f>SOPL!$I$9:$S$9</c:f>
              <c:numCache>
                <c:formatCode>"FY"###0"A"</c:formatCode>
                <c:ptCount val="11"/>
                <c:pt idx="0">
                  <c:v>20</c:v>
                </c:pt>
                <c:pt idx="1">
                  <c:v>21</c:v>
                </c:pt>
                <c:pt idx="2">
                  <c:v>22</c:v>
                </c:pt>
                <c:pt idx="3">
                  <c:v>23</c:v>
                </c:pt>
                <c:pt idx="4">
                  <c:v>24</c:v>
                </c:pt>
                <c:pt idx="5">
                  <c:v>25</c:v>
                </c:pt>
                <c:pt idx="6">
                  <c:v>26</c:v>
                </c:pt>
                <c:pt idx="7" formatCode="&quot;FY&quot;###0&quot;E&quot;">
                  <c:v>27</c:v>
                </c:pt>
                <c:pt idx="8" formatCode="&quot;FY&quot;###0&quot;E&quot;">
                  <c:v>28</c:v>
                </c:pt>
                <c:pt idx="9" formatCode="&quot;FY&quot;###0&quot;E&quot;">
                  <c:v>29</c:v>
                </c:pt>
                <c:pt idx="10" formatCode="&quot;FY&quot;###0&quot;E&quot;">
                  <c:v>30</c:v>
                </c:pt>
              </c:numCache>
            </c:numRef>
          </c:cat>
          <c:val>
            <c:numRef>
              <c:f>SOPL!$I$22:$S$22</c:f>
              <c:numCache>
                <c:formatCode>#,##0.00;\(#,##0.00\);\-</c:formatCode>
                <c:ptCount val="11"/>
                <c:pt idx="0">
                  <c:v>4466.079999999999</c:v>
                </c:pt>
                <c:pt idx="1">
                  <c:v>5158.6500000000005</c:v>
                </c:pt>
                <c:pt idx="2">
                  <c:v>5183.619999999999</c:v>
                </c:pt>
                <c:pt idx="3">
                  <c:v>6646.32</c:v>
                </c:pt>
                <c:pt idx="4">
                  <c:v>8272.9399999999969</c:v>
                </c:pt>
                <c:pt idx="5">
                  <c:v>6578.8200000000052</c:v>
                </c:pt>
                <c:pt idx="6">
                  <c:v>7419.7200000000012</c:v>
                </c:pt>
                <c:pt idx="7">
                  <c:v>7894.2499852784204</c:v>
                </c:pt>
                <c:pt idx="8">
                  <c:v>8542.4418231832096</c:v>
                </c:pt>
                <c:pt idx="9">
                  <c:v>9241.9236168881416</c:v>
                </c:pt>
                <c:pt idx="10">
                  <c:v>9996.4904837723752</c:v>
                </c:pt>
              </c:numCache>
            </c:numRef>
          </c:val>
          <c:smooth val="0"/>
          <c:extLst>
            <c:ext xmlns:c16="http://schemas.microsoft.com/office/drawing/2014/chart" uri="{C3380CC4-5D6E-409C-BE32-E72D297353CC}">
              <c16:uniqueId val="{00000003-924C-45ED-BF3B-7FE48F9146F6}"/>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538208864"/>
        <c:axId val="538192544"/>
      </c:lineChart>
      <c:catAx>
        <c:axId val="53820886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r>
                  <a:rPr lang="en-IN" b="1">
                    <a:solidFill>
                      <a:schemeClr val="tx1"/>
                    </a:solidFill>
                  </a:rPr>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title>
        <c:numFmt formatCode="&quot;FY&quot;###0&quot;A&quot;"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chemeClr val="tx1"/>
                </a:solidFill>
                <a:latin typeface="+mn-lt"/>
                <a:ea typeface="+mn-ea"/>
                <a:cs typeface="+mn-cs"/>
              </a:defRPr>
            </a:pPr>
            <a:endParaRPr lang="en-US"/>
          </a:p>
        </c:txPr>
        <c:crossAx val="538192544"/>
        <c:crosses val="autoZero"/>
        <c:auto val="1"/>
        <c:lblAlgn val="ctr"/>
        <c:lblOffset val="100"/>
        <c:noMultiLvlLbl val="0"/>
      </c:catAx>
      <c:valAx>
        <c:axId val="53819254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tx1"/>
                    </a:solidFill>
                    <a:latin typeface="+mn-lt"/>
                    <a:ea typeface="+mn-ea"/>
                    <a:cs typeface="+mn-cs"/>
                  </a:defRPr>
                </a:pPr>
                <a:r>
                  <a:rPr lang="en-IN" b="1">
                    <a:solidFill>
                      <a:schemeClr val="tx1"/>
                    </a:solidFill>
                  </a:rPr>
                  <a:t>₹ Cr.</a:t>
                </a:r>
              </a:p>
            </c:rich>
          </c:tx>
          <c:layout>
            <c:manualLayout>
              <c:xMode val="edge"/>
              <c:yMode val="edge"/>
              <c:x val="1.2921994338153555E-2"/>
              <c:y val="0.30945648042259666"/>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title>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tx1"/>
                </a:solidFill>
                <a:latin typeface="+mn-lt"/>
                <a:ea typeface="+mn-ea"/>
                <a:cs typeface="+mn-cs"/>
              </a:defRPr>
            </a:pPr>
            <a:endParaRPr lang="en-US"/>
          </a:p>
        </c:txPr>
        <c:crossAx val="538208864"/>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layout>
        <c:manualLayout>
          <c:xMode val="edge"/>
          <c:yMode val="edge"/>
          <c:x val="0.10685218035189586"/>
          <c:y val="0.86776263382718022"/>
          <c:w val="0.78695300210640595"/>
          <c:h val="0.1082364420364293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rgbClr val="E24B08"/>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1732559577656636"/>
          <c:y val="6.1518387789939927E-2"/>
          <c:w val="0.80245032282562712"/>
          <c:h val="0.63826790105217268"/>
        </c:manualLayout>
      </c:layout>
      <c:lineChart>
        <c:grouping val="standard"/>
        <c:varyColors val="0"/>
        <c:ser>
          <c:idx val="0"/>
          <c:order val="0"/>
          <c:tx>
            <c:strRef>
              <c:f>SOPL!$B$13</c:f>
              <c:strCache>
                <c:ptCount val="1"/>
                <c:pt idx="0">
                  <c:v>REVENUE FROM OPERATIONS</c:v>
                </c:pt>
              </c:strCache>
            </c:strRef>
          </c:tx>
          <c:spPr>
            <a:ln w="22225" cap="rnd" cmpd="sng" algn="ctr">
              <a:solidFill>
                <a:schemeClr val="accent2">
                  <a:shade val="76000"/>
                </a:schemeClr>
              </a:solidFill>
              <a:round/>
            </a:ln>
            <a:effectLst/>
          </c:spPr>
          <c:marker>
            <c:symbol val="none"/>
          </c:marker>
          <c:cat>
            <c:numRef>
              <c:f>SOPL!$I$9:$S$9</c:f>
              <c:numCache>
                <c:formatCode>"FY"###0"A"</c:formatCode>
                <c:ptCount val="11"/>
                <c:pt idx="0">
                  <c:v>20</c:v>
                </c:pt>
                <c:pt idx="1">
                  <c:v>21</c:v>
                </c:pt>
                <c:pt idx="2">
                  <c:v>22</c:v>
                </c:pt>
                <c:pt idx="3">
                  <c:v>23</c:v>
                </c:pt>
                <c:pt idx="4">
                  <c:v>24</c:v>
                </c:pt>
                <c:pt idx="5">
                  <c:v>25</c:v>
                </c:pt>
                <c:pt idx="6">
                  <c:v>26</c:v>
                </c:pt>
                <c:pt idx="7" formatCode="&quot;FY&quot;###0&quot;E&quot;">
                  <c:v>27</c:v>
                </c:pt>
                <c:pt idx="8" formatCode="&quot;FY&quot;###0&quot;E&quot;">
                  <c:v>28</c:v>
                </c:pt>
                <c:pt idx="9" formatCode="&quot;FY&quot;###0&quot;E&quot;">
                  <c:v>29</c:v>
                </c:pt>
                <c:pt idx="10" formatCode="&quot;FY&quot;###0&quot;E&quot;">
                  <c:v>30</c:v>
                </c:pt>
              </c:numCache>
            </c:numRef>
          </c:cat>
          <c:val>
            <c:numRef>
              <c:f>SOPL!$I$13:$S$13</c:f>
              <c:numCache>
                <c:formatCode>#,##0.00;\(#,##0.00\);\-</c:formatCode>
                <c:ptCount val="11"/>
                <c:pt idx="0">
                  <c:v>20211.25</c:v>
                </c:pt>
                <c:pt idx="1">
                  <c:v>21712.79</c:v>
                </c:pt>
                <c:pt idx="2">
                  <c:v>29101.279999999999</c:v>
                </c:pt>
                <c:pt idx="3">
                  <c:v>34488.590000000004</c:v>
                </c:pt>
                <c:pt idx="4">
                  <c:v>35494.729999999996</c:v>
                </c:pt>
                <c:pt idx="5">
                  <c:v>33905.620000000003</c:v>
                </c:pt>
                <c:pt idx="6">
                  <c:v>35583.54</c:v>
                </c:pt>
                <c:pt idx="7">
                  <c:v>38834.811316644591</c:v>
                </c:pt>
                <c:pt idx="8">
                  <c:v>42384.849919173204</c:v>
                </c:pt>
                <c:pt idx="9">
                  <c:v>46260.995269682368</c:v>
                </c:pt>
                <c:pt idx="10">
                  <c:v>50493.096339668758</c:v>
                </c:pt>
              </c:numCache>
            </c:numRef>
          </c:val>
          <c:smooth val="0"/>
          <c:extLst>
            <c:ext xmlns:c16="http://schemas.microsoft.com/office/drawing/2014/chart" uri="{C3380CC4-5D6E-409C-BE32-E72D297353CC}">
              <c16:uniqueId val="{00000000-E87E-47F2-BCE0-7A46B3ADC71D}"/>
            </c:ext>
          </c:extLst>
        </c:ser>
        <c:ser>
          <c:idx val="1"/>
          <c:order val="1"/>
          <c:tx>
            <c:strRef>
              <c:f>SOPL!$B$31</c:f>
              <c:strCache>
                <c:ptCount val="1"/>
                <c:pt idx="0">
                  <c:v>PROFIT AFTER TAX</c:v>
                </c:pt>
              </c:strCache>
            </c:strRef>
          </c:tx>
          <c:spPr>
            <a:ln w="22225" cap="rnd" cmpd="sng" algn="ctr">
              <a:solidFill>
                <a:schemeClr val="accent2">
                  <a:tint val="77000"/>
                </a:schemeClr>
              </a:solidFill>
              <a:round/>
            </a:ln>
            <a:effectLst/>
          </c:spPr>
          <c:marker>
            <c:symbol val="none"/>
          </c:marker>
          <c:cat>
            <c:numRef>
              <c:f>SOPL!$I$9:$S$9</c:f>
              <c:numCache>
                <c:formatCode>"FY"###0"A"</c:formatCode>
                <c:ptCount val="11"/>
                <c:pt idx="0">
                  <c:v>20</c:v>
                </c:pt>
                <c:pt idx="1">
                  <c:v>21</c:v>
                </c:pt>
                <c:pt idx="2">
                  <c:v>22</c:v>
                </c:pt>
                <c:pt idx="3">
                  <c:v>23</c:v>
                </c:pt>
                <c:pt idx="4">
                  <c:v>24</c:v>
                </c:pt>
                <c:pt idx="5">
                  <c:v>25</c:v>
                </c:pt>
                <c:pt idx="6">
                  <c:v>26</c:v>
                </c:pt>
                <c:pt idx="7" formatCode="&quot;FY&quot;###0&quot;E&quot;">
                  <c:v>27</c:v>
                </c:pt>
                <c:pt idx="8" formatCode="&quot;FY&quot;###0&quot;E&quot;">
                  <c:v>28</c:v>
                </c:pt>
                <c:pt idx="9" formatCode="&quot;FY&quot;###0&quot;E&quot;">
                  <c:v>29</c:v>
                </c:pt>
                <c:pt idx="10" formatCode="&quot;FY&quot;###0&quot;E&quot;">
                  <c:v>30</c:v>
                </c:pt>
              </c:numCache>
            </c:numRef>
          </c:cat>
          <c:val>
            <c:numRef>
              <c:f>SOPL!$I$31:$S$31</c:f>
              <c:numCache>
                <c:formatCode>#,##0.00;\(#,##0.00\);\-</c:formatCode>
                <c:ptCount val="11"/>
                <c:pt idx="0">
                  <c:v>2774.1899999999991</c:v>
                </c:pt>
                <c:pt idx="1">
                  <c:v>3206.7500000000014</c:v>
                </c:pt>
                <c:pt idx="2">
                  <c:v>3084.8099999999995</c:v>
                </c:pt>
                <c:pt idx="3">
                  <c:v>4195.33</c:v>
                </c:pt>
                <c:pt idx="4">
                  <c:v>5557.6899999999969</c:v>
                </c:pt>
                <c:pt idx="5">
                  <c:v>3709.7100000000046</c:v>
                </c:pt>
                <c:pt idx="6">
                  <c:v>4394.6900000000014</c:v>
                </c:pt>
                <c:pt idx="7">
                  <c:v>4779.5019633944339</c:v>
                </c:pt>
                <c:pt idx="8">
                  <c:v>5209.0626133793394</c:v>
                </c:pt>
                <c:pt idx="9">
                  <c:v>5669.5146362478572</c:v>
                </c:pt>
                <c:pt idx="10">
                  <c:v>6163.4359109095458</c:v>
                </c:pt>
              </c:numCache>
            </c:numRef>
          </c:val>
          <c:smooth val="0"/>
          <c:extLst>
            <c:ext xmlns:c16="http://schemas.microsoft.com/office/drawing/2014/chart" uri="{C3380CC4-5D6E-409C-BE32-E72D297353CC}">
              <c16:uniqueId val="{00000001-E87E-47F2-BCE0-7A46B3ADC71D}"/>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538219904"/>
        <c:axId val="538221344"/>
      </c:lineChart>
      <c:catAx>
        <c:axId val="53821990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b="1">
                    <a:solidFill>
                      <a:sysClr val="windowText" lastClr="000000"/>
                    </a:solidFill>
                  </a:rPr>
                  <a:t>YEAR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quot;FY&quot;###0&quot;A&quot;"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ysClr val="windowText" lastClr="000000"/>
                </a:solidFill>
                <a:latin typeface="+mn-lt"/>
                <a:ea typeface="+mn-ea"/>
                <a:cs typeface="+mn-cs"/>
              </a:defRPr>
            </a:pPr>
            <a:endParaRPr lang="en-US"/>
          </a:p>
        </c:txPr>
        <c:crossAx val="538221344"/>
        <c:crosses val="autoZero"/>
        <c:auto val="1"/>
        <c:lblAlgn val="ctr"/>
        <c:lblOffset val="100"/>
        <c:noMultiLvlLbl val="0"/>
      </c:catAx>
      <c:valAx>
        <c:axId val="538221344"/>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b="1" baseline="0">
                    <a:solidFill>
                      <a:schemeClr val="tx1"/>
                    </a:solidFill>
                  </a:rPr>
                  <a:t>₹ Cr.</a:t>
                </a:r>
                <a:endParaRPr lang="en-US" b="1">
                  <a:solidFill>
                    <a:schemeClr val="tx1"/>
                  </a:solidFill>
                </a:endParaRPr>
              </a:p>
            </c:rich>
          </c:tx>
          <c:layout>
            <c:manualLayout>
              <c:xMode val="edge"/>
              <c:yMode val="edge"/>
              <c:x val="1.1919349364952082E-2"/>
              <c:y val="0.29680403252620402"/>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tx1"/>
                </a:solidFill>
                <a:latin typeface="+mn-lt"/>
                <a:ea typeface="+mn-ea"/>
                <a:cs typeface="+mn-cs"/>
              </a:defRPr>
            </a:pPr>
            <a:endParaRPr lang="en-US"/>
          </a:p>
        </c:txPr>
        <c:crossAx val="538219904"/>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layout>
        <c:manualLayout>
          <c:xMode val="edge"/>
          <c:yMode val="edge"/>
          <c:x val="2.0234045994327335E-2"/>
          <c:y val="0.86489144516624172"/>
          <c:w val="0.93715127531530773"/>
          <c:h val="0.11337499490824526"/>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rgbClr val="E24B08"/>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b="1">
                <a:solidFill>
                  <a:sysClr val="windowText" lastClr="000000"/>
                </a:solidFill>
              </a:rPr>
              <a:t>in ₹/share</a:t>
            </a:r>
          </a:p>
        </c:rich>
      </c:tx>
      <c:layout>
        <c:manualLayout>
          <c:xMode val="edge"/>
          <c:yMode val="edge"/>
          <c:x val="1.8631310811100039E-2"/>
          <c:y val="2.4205063775578271E-2"/>
        </c:manualLayout>
      </c:layout>
      <c:overlay val="1"/>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tx>
            <c:strRef>
              <c:f>SOPL!$B$34</c:f>
              <c:strCache>
                <c:ptCount val="1"/>
                <c:pt idx="0">
                  <c:v>Earnings Per Share (EPS) (Basic)</c:v>
                </c:pt>
              </c:strCache>
            </c:strRef>
          </c:tx>
          <c:spPr>
            <a:ln w="22225" cap="rnd" cmpd="sng" algn="ctr">
              <a:solidFill>
                <a:schemeClr val="accent2">
                  <a:shade val="76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SOPL!$I$9:$S$9</c:f>
              <c:numCache>
                <c:formatCode>"FY"###0"A"</c:formatCode>
                <c:ptCount val="11"/>
                <c:pt idx="0">
                  <c:v>20</c:v>
                </c:pt>
                <c:pt idx="1">
                  <c:v>21</c:v>
                </c:pt>
                <c:pt idx="2">
                  <c:v>22</c:v>
                </c:pt>
                <c:pt idx="3">
                  <c:v>23</c:v>
                </c:pt>
                <c:pt idx="4">
                  <c:v>24</c:v>
                </c:pt>
                <c:pt idx="5">
                  <c:v>25</c:v>
                </c:pt>
                <c:pt idx="6">
                  <c:v>26</c:v>
                </c:pt>
                <c:pt idx="7" formatCode="&quot;FY&quot;###0&quot;E&quot;">
                  <c:v>27</c:v>
                </c:pt>
                <c:pt idx="8" formatCode="&quot;FY&quot;###0&quot;E&quot;">
                  <c:v>28</c:v>
                </c:pt>
                <c:pt idx="9" formatCode="&quot;FY&quot;###0&quot;E&quot;">
                  <c:v>29</c:v>
                </c:pt>
                <c:pt idx="10" formatCode="&quot;FY&quot;###0&quot;E&quot;">
                  <c:v>30</c:v>
                </c:pt>
              </c:numCache>
            </c:numRef>
          </c:cat>
          <c:val>
            <c:numRef>
              <c:f>SOPL!$I$34:$S$34</c:f>
              <c:numCache>
                <c:formatCode>0.00</c:formatCode>
                <c:ptCount val="11"/>
                <c:pt idx="0">
                  <c:v>28.2</c:v>
                </c:pt>
                <c:pt idx="1">
                  <c:v>32.729999999999997</c:v>
                </c:pt>
                <c:pt idx="2">
                  <c:v>31.59</c:v>
                </c:pt>
                <c:pt idx="3">
                  <c:v>42.83</c:v>
                </c:pt>
                <c:pt idx="4">
                  <c:v>56.95</c:v>
                </c:pt>
                <c:pt idx="5">
                  <c:v>38.25</c:v>
                </c:pt>
                <c:pt idx="6">
                  <c:v>45.12</c:v>
                </c:pt>
                <c:pt idx="7">
                  <c:v>49.071657230815404</c:v>
                </c:pt>
                <c:pt idx="8">
                  <c:v>53.48200231223786</c:v>
                </c:pt>
                <c:pt idx="9">
                  <c:v>58.209512419042419</c:v>
                </c:pt>
                <c:pt idx="10">
                  <c:v>63.280654909376743</c:v>
                </c:pt>
              </c:numCache>
            </c:numRef>
          </c:val>
          <c:smooth val="0"/>
          <c:extLst>
            <c:ext xmlns:c16="http://schemas.microsoft.com/office/drawing/2014/chart" uri="{C3380CC4-5D6E-409C-BE32-E72D297353CC}">
              <c16:uniqueId val="{00000000-ED01-4421-98C8-F205DA89180B}"/>
            </c:ext>
          </c:extLst>
        </c:ser>
        <c:ser>
          <c:idx val="1"/>
          <c:order val="1"/>
          <c:tx>
            <c:strRef>
              <c:f>SOPL!$B$35</c:f>
              <c:strCache>
                <c:ptCount val="1"/>
                <c:pt idx="0">
                  <c:v>Dividend Per Share (DPS)</c:v>
                </c:pt>
              </c:strCache>
            </c:strRef>
          </c:tx>
          <c:spPr>
            <a:ln w="22225" cap="rnd" cmpd="sng" algn="ctr">
              <a:solidFill>
                <a:schemeClr val="accent2">
                  <a:tint val="77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SOPL!$I$9:$S$9</c:f>
              <c:numCache>
                <c:formatCode>"FY"###0"A"</c:formatCode>
                <c:ptCount val="11"/>
                <c:pt idx="0">
                  <c:v>20</c:v>
                </c:pt>
                <c:pt idx="1">
                  <c:v>21</c:v>
                </c:pt>
                <c:pt idx="2">
                  <c:v>22</c:v>
                </c:pt>
                <c:pt idx="3">
                  <c:v>23</c:v>
                </c:pt>
                <c:pt idx="4">
                  <c:v>24</c:v>
                </c:pt>
                <c:pt idx="5">
                  <c:v>25</c:v>
                </c:pt>
                <c:pt idx="6">
                  <c:v>26</c:v>
                </c:pt>
                <c:pt idx="7" formatCode="&quot;FY&quot;###0&quot;E&quot;">
                  <c:v>27</c:v>
                </c:pt>
                <c:pt idx="8" formatCode="&quot;FY&quot;###0&quot;E&quot;">
                  <c:v>28</c:v>
                </c:pt>
                <c:pt idx="9" formatCode="&quot;FY&quot;###0&quot;E&quot;">
                  <c:v>29</c:v>
                </c:pt>
                <c:pt idx="10" formatCode="&quot;FY&quot;###0&quot;E&quot;">
                  <c:v>30</c:v>
                </c:pt>
              </c:numCache>
            </c:numRef>
          </c:cat>
          <c:val>
            <c:numRef>
              <c:f>SOPL!$I$35:$S$35</c:f>
              <c:numCache>
                <c:formatCode>0.00</c:formatCode>
                <c:ptCount val="11"/>
                <c:pt idx="0">
                  <c:v>12.000027648103734</c:v>
                </c:pt>
                <c:pt idx="1">
                  <c:v>17.850020275797341</c:v>
                </c:pt>
                <c:pt idx="2">
                  <c:v>19.148084150610899</c:v>
                </c:pt>
                <c:pt idx="3">
                  <c:v>26.399977422800362</c:v>
                </c:pt>
                <c:pt idx="4">
                  <c:v>33.300014171216972</c:v>
                </c:pt>
                <c:pt idx="5">
                  <c:v>24.799994587143491</c:v>
                </c:pt>
                <c:pt idx="6">
                  <c:v>27.499959106452902</c:v>
                </c:pt>
                <c:pt idx="7">
                  <c:v>29.739927275296075</c:v>
                </c:pt>
                <c:pt idx="8">
                  <c:v>32.412821352696362</c:v>
                </c:pt>
                <c:pt idx="9">
                  <c:v>35.27793361308494</c:v>
                </c:pt>
                <c:pt idx="10">
                  <c:v>38.351304625517344</c:v>
                </c:pt>
              </c:numCache>
            </c:numRef>
          </c:val>
          <c:smooth val="0"/>
          <c:extLst>
            <c:ext xmlns:c16="http://schemas.microsoft.com/office/drawing/2014/chart" uri="{C3380CC4-5D6E-409C-BE32-E72D297353CC}">
              <c16:uniqueId val="{00000001-ED01-4421-98C8-F205DA89180B}"/>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298754015"/>
        <c:axId val="1298758335"/>
      </c:lineChart>
      <c:catAx>
        <c:axId val="1298754015"/>
        <c:scaling>
          <c:orientation val="minMax"/>
        </c:scaling>
        <c:delete val="0"/>
        <c:axPos val="b"/>
        <c:numFmt formatCode="&quot;FY&quot;###0&quot;A&quot;"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chemeClr val="tx1"/>
                </a:solidFill>
                <a:latin typeface="+mn-lt"/>
                <a:ea typeface="+mn-ea"/>
                <a:cs typeface="+mn-cs"/>
              </a:defRPr>
            </a:pPr>
            <a:endParaRPr lang="en-US"/>
          </a:p>
        </c:txPr>
        <c:crossAx val="1298758335"/>
        <c:crosses val="autoZero"/>
        <c:auto val="1"/>
        <c:lblAlgn val="ctr"/>
        <c:lblOffset val="100"/>
        <c:noMultiLvlLbl val="0"/>
      </c:catAx>
      <c:valAx>
        <c:axId val="1298758335"/>
        <c:scaling>
          <c:orientation val="minMax"/>
        </c:scaling>
        <c:delete val="1"/>
        <c:axPos val="l"/>
        <c:numFmt formatCode="0.00" sourceLinked="1"/>
        <c:majorTickMark val="none"/>
        <c:minorTickMark val="none"/>
        <c:tickLblPos val="nextTo"/>
        <c:crossAx val="1298754015"/>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lt1"/>
    </a:solidFill>
    <a:ln w="9525" cap="flat" cmpd="sng" algn="ctr">
      <a:solidFill>
        <a:srgbClr val="E24B08"/>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Sensitivity Analysis'!A1"/><Relationship Id="rId13" Type="http://schemas.openxmlformats.org/officeDocument/2006/relationships/hyperlink" Target="#'Ratio Analysis'!A1"/><Relationship Id="rId3" Type="http://schemas.openxmlformats.org/officeDocument/2006/relationships/chart" Target="../charts/chart1.xml"/><Relationship Id="rId7" Type="http://schemas.openxmlformats.org/officeDocument/2006/relationships/hyperlink" Target="#'Valuation-FCFF'!A1"/><Relationship Id="rId12" Type="http://schemas.openxmlformats.org/officeDocument/2006/relationships/hyperlink" Target="#Schedule!A1"/><Relationship Id="rId2" Type="http://schemas.openxmlformats.org/officeDocument/2006/relationships/image" Target="../media/image2.png"/><Relationship Id="rId16"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hyperlink" Target="#SOCF!A1"/><Relationship Id="rId5" Type="http://schemas.openxmlformats.org/officeDocument/2006/relationships/chart" Target="../charts/chart3.xml"/><Relationship Id="rId15" Type="http://schemas.openxmlformats.org/officeDocument/2006/relationships/hyperlink" Target="#'Comparative Analysis'!A1"/><Relationship Id="rId10" Type="http://schemas.openxmlformats.org/officeDocument/2006/relationships/hyperlink" Target="#SOPL!A1"/><Relationship Id="rId4" Type="http://schemas.openxmlformats.org/officeDocument/2006/relationships/chart" Target="../charts/chart2.xml"/><Relationship Id="rId9" Type="http://schemas.openxmlformats.org/officeDocument/2006/relationships/hyperlink" Target="#'SOFP '!A1"/><Relationship Id="rId14" Type="http://schemas.openxmlformats.org/officeDocument/2006/relationships/hyperlink" Target="#'Common-Size Analysis'!A1"/></Relationships>
</file>

<file path=xl/drawings/_rels/drawing2.xml.rels><?xml version="1.0" encoding="UTF-8" standalone="yes"?>
<Relationships xmlns="http://schemas.openxmlformats.org/package/2006/relationships"><Relationship Id="rId8" Type="http://schemas.openxmlformats.org/officeDocument/2006/relationships/hyperlink" Target="#'Ratio Analysis'!A1"/><Relationship Id="rId3" Type="http://schemas.openxmlformats.org/officeDocument/2006/relationships/hyperlink" Target="#'Sensitivity Analysis'!A1"/><Relationship Id="rId7" Type="http://schemas.openxmlformats.org/officeDocument/2006/relationships/hyperlink" Target="#Schedule!A1"/><Relationship Id="rId2" Type="http://schemas.openxmlformats.org/officeDocument/2006/relationships/hyperlink" Target="#'Valuation-FCFF'!A1"/><Relationship Id="rId1" Type="http://schemas.openxmlformats.org/officeDocument/2006/relationships/image" Target="../media/image3.png"/><Relationship Id="rId6" Type="http://schemas.openxmlformats.org/officeDocument/2006/relationships/hyperlink" Target="#SOCF!A1"/><Relationship Id="rId11" Type="http://schemas.openxmlformats.org/officeDocument/2006/relationships/hyperlink" Target="#Dashboard!A1"/><Relationship Id="rId5" Type="http://schemas.openxmlformats.org/officeDocument/2006/relationships/hyperlink" Target="#SOPL!A1"/><Relationship Id="rId10" Type="http://schemas.openxmlformats.org/officeDocument/2006/relationships/hyperlink" Target="#'Comparative Analysis'!A1"/><Relationship Id="rId4" Type="http://schemas.openxmlformats.org/officeDocument/2006/relationships/hyperlink" Target="#'SOFP '!A1"/><Relationship Id="rId9" Type="http://schemas.openxmlformats.org/officeDocument/2006/relationships/hyperlink" Target="#'Common-Size Analysis'!A1"/></Relationships>
</file>

<file path=xl/drawings/_rels/drawing3.xml.rels><?xml version="1.0" encoding="UTF-8" standalone="yes"?>
<Relationships xmlns="http://schemas.openxmlformats.org/package/2006/relationships"><Relationship Id="rId8" Type="http://schemas.openxmlformats.org/officeDocument/2006/relationships/hyperlink" Target="#Schedule!A1"/><Relationship Id="rId13" Type="http://schemas.openxmlformats.org/officeDocument/2006/relationships/chart" Target="../charts/chart6.xml"/><Relationship Id="rId3" Type="http://schemas.openxmlformats.org/officeDocument/2006/relationships/hyperlink" Target="#'Valuation-FCFF'!A1"/><Relationship Id="rId7" Type="http://schemas.openxmlformats.org/officeDocument/2006/relationships/hyperlink" Target="#SOCF!A1"/><Relationship Id="rId12" Type="http://schemas.openxmlformats.org/officeDocument/2006/relationships/hyperlink" Target="#Dashboard!A1"/><Relationship Id="rId2" Type="http://schemas.openxmlformats.org/officeDocument/2006/relationships/chart" Target="../charts/chart5.xml"/><Relationship Id="rId1" Type="http://schemas.openxmlformats.org/officeDocument/2006/relationships/image" Target="../media/image3.png"/><Relationship Id="rId6" Type="http://schemas.openxmlformats.org/officeDocument/2006/relationships/hyperlink" Target="#SOPL!A1"/><Relationship Id="rId11" Type="http://schemas.openxmlformats.org/officeDocument/2006/relationships/hyperlink" Target="#'Comparative Analysis'!A1"/><Relationship Id="rId5" Type="http://schemas.openxmlformats.org/officeDocument/2006/relationships/hyperlink" Target="#'SOFP '!A1"/><Relationship Id="rId10" Type="http://schemas.openxmlformats.org/officeDocument/2006/relationships/hyperlink" Target="#'Common-Size Analysis'!A1"/><Relationship Id="rId4" Type="http://schemas.openxmlformats.org/officeDocument/2006/relationships/hyperlink" Target="#'Sensitivity Analysis'!A1"/><Relationship Id="rId9" Type="http://schemas.openxmlformats.org/officeDocument/2006/relationships/hyperlink" Target="#'Ratio Analysis'!A1"/></Relationships>
</file>

<file path=xl/drawings/_rels/drawing4.xml.rels><?xml version="1.0" encoding="UTF-8" standalone="yes"?>
<Relationships xmlns="http://schemas.openxmlformats.org/package/2006/relationships"><Relationship Id="rId8" Type="http://schemas.openxmlformats.org/officeDocument/2006/relationships/hyperlink" Target="#'Ratio Analysis'!A1"/><Relationship Id="rId3" Type="http://schemas.openxmlformats.org/officeDocument/2006/relationships/hyperlink" Target="#'Sensitivity Analysis'!A1"/><Relationship Id="rId7" Type="http://schemas.openxmlformats.org/officeDocument/2006/relationships/hyperlink" Target="#Schedule!A1"/><Relationship Id="rId2" Type="http://schemas.openxmlformats.org/officeDocument/2006/relationships/hyperlink" Target="#'Valuation-FCFF'!A1"/><Relationship Id="rId1" Type="http://schemas.openxmlformats.org/officeDocument/2006/relationships/image" Target="../media/image3.png"/><Relationship Id="rId6" Type="http://schemas.openxmlformats.org/officeDocument/2006/relationships/hyperlink" Target="#SOCF!A1"/><Relationship Id="rId11" Type="http://schemas.openxmlformats.org/officeDocument/2006/relationships/hyperlink" Target="#Dashboard!A1"/><Relationship Id="rId5" Type="http://schemas.openxmlformats.org/officeDocument/2006/relationships/hyperlink" Target="#SOPL!A1"/><Relationship Id="rId10" Type="http://schemas.openxmlformats.org/officeDocument/2006/relationships/hyperlink" Target="#'Comparative Analysis'!A1"/><Relationship Id="rId4" Type="http://schemas.openxmlformats.org/officeDocument/2006/relationships/hyperlink" Target="#'SOFP '!A1"/><Relationship Id="rId9" Type="http://schemas.openxmlformats.org/officeDocument/2006/relationships/hyperlink" Target="#'Common-Size Analysis'!A1"/></Relationships>
</file>

<file path=xl/drawings/_rels/drawing5.xml.rels><?xml version="1.0" encoding="UTF-8" standalone="yes"?>
<Relationships xmlns="http://schemas.openxmlformats.org/package/2006/relationships"><Relationship Id="rId8" Type="http://schemas.openxmlformats.org/officeDocument/2006/relationships/hyperlink" Target="#SOPL!A1"/><Relationship Id="rId13" Type="http://schemas.openxmlformats.org/officeDocument/2006/relationships/hyperlink" Target="#'Comparative Analysis'!A1"/><Relationship Id="rId3" Type="http://schemas.openxmlformats.org/officeDocument/2006/relationships/chart" Target="../charts/chart8.xml"/><Relationship Id="rId7" Type="http://schemas.openxmlformats.org/officeDocument/2006/relationships/hyperlink" Target="#'SOFP '!A1"/><Relationship Id="rId12" Type="http://schemas.openxmlformats.org/officeDocument/2006/relationships/hyperlink" Target="#'Common-Size Analysis'!A1"/><Relationship Id="rId2" Type="http://schemas.openxmlformats.org/officeDocument/2006/relationships/chart" Target="../charts/chart7.xml"/><Relationship Id="rId1" Type="http://schemas.openxmlformats.org/officeDocument/2006/relationships/image" Target="../media/image3.png"/><Relationship Id="rId6" Type="http://schemas.openxmlformats.org/officeDocument/2006/relationships/hyperlink" Target="#'Sensitivity Analysis'!A1"/><Relationship Id="rId11" Type="http://schemas.openxmlformats.org/officeDocument/2006/relationships/hyperlink" Target="#'Ratio Analysis'!A1"/><Relationship Id="rId5" Type="http://schemas.openxmlformats.org/officeDocument/2006/relationships/hyperlink" Target="#'Valuation-FCFF'!A1"/><Relationship Id="rId10" Type="http://schemas.openxmlformats.org/officeDocument/2006/relationships/hyperlink" Target="#Schedule!A1"/><Relationship Id="rId4" Type="http://schemas.openxmlformats.org/officeDocument/2006/relationships/chart" Target="../charts/chart9.xml"/><Relationship Id="rId9" Type="http://schemas.openxmlformats.org/officeDocument/2006/relationships/hyperlink" Target="#SOCF!A1"/><Relationship Id="rId14" Type="http://schemas.openxmlformats.org/officeDocument/2006/relationships/hyperlink" Target="#Dashboard!A1"/></Relationships>
</file>

<file path=xl/drawings/_rels/drawing6.xml.rels><?xml version="1.0" encoding="UTF-8" standalone="yes"?>
<Relationships xmlns="http://schemas.openxmlformats.org/package/2006/relationships"><Relationship Id="rId8" Type="http://schemas.openxmlformats.org/officeDocument/2006/relationships/hyperlink" Target="#'Ratio Analysis'!A1"/><Relationship Id="rId3" Type="http://schemas.openxmlformats.org/officeDocument/2006/relationships/hyperlink" Target="#'Sensitivity Analysis'!A1"/><Relationship Id="rId7" Type="http://schemas.openxmlformats.org/officeDocument/2006/relationships/hyperlink" Target="#Schedule!A1"/><Relationship Id="rId2" Type="http://schemas.openxmlformats.org/officeDocument/2006/relationships/hyperlink" Target="#'Valuation-FCFF'!A1"/><Relationship Id="rId1" Type="http://schemas.openxmlformats.org/officeDocument/2006/relationships/image" Target="../media/image3.png"/><Relationship Id="rId6" Type="http://schemas.openxmlformats.org/officeDocument/2006/relationships/hyperlink" Target="#SOCF!A1"/><Relationship Id="rId11" Type="http://schemas.openxmlformats.org/officeDocument/2006/relationships/hyperlink" Target="#Dashboard!A1"/><Relationship Id="rId5" Type="http://schemas.openxmlformats.org/officeDocument/2006/relationships/hyperlink" Target="#SOPL!A1"/><Relationship Id="rId10" Type="http://schemas.openxmlformats.org/officeDocument/2006/relationships/hyperlink" Target="#'Comparative Analysis'!A1"/><Relationship Id="rId4" Type="http://schemas.openxmlformats.org/officeDocument/2006/relationships/hyperlink" Target="#'SOFP '!A1"/><Relationship Id="rId9" Type="http://schemas.openxmlformats.org/officeDocument/2006/relationships/hyperlink" Target="#'Common-Size Analysis'!A1"/></Relationships>
</file>

<file path=xl/drawings/_rels/drawing7.xml.rels><?xml version="1.0" encoding="UTF-8" standalone="yes"?>
<Relationships xmlns="http://schemas.openxmlformats.org/package/2006/relationships"><Relationship Id="rId8" Type="http://schemas.openxmlformats.org/officeDocument/2006/relationships/hyperlink" Target="#'Ratio Analysis'!A1"/><Relationship Id="rId3" Type="http://schemas.openxmlformats.org/officeDocument/2006/relationships/hyperlink" Target="#'Sensitivity Analysis'!A1"/><Relationship Id="rId7" Type="http://schemas.openxmlformats.org/officeDocument/2006/relationships/hyperlink" Target="#Schedule!A1"/><Relationship Id="rId2" Type="http://schemas.openxmlformats.org/officeDocument/2006/relationships/hyperlink" Target="#'Valuation-FCFF'!A1"/><Relationship Id="rId1" Type="http://schemas.openxmlformats.org/officeDocument/2006/relationships/image" Target="../media/image3.png"/><Relationship Id="rId6" Type="http://schemas.openxmlformats.org/officeDocument/2006/relationships/hyperlink" Target="#SOCF!A1"/><Relationship Id="rId11" Type="http://schemas.openxmlformats.org/officeDocument/2006/relationships/hyperlink" Target="#Dashboard!A1"/><Relationship Id="rId5" Type="http://schemas.openxmlformats.org/officeDocument/2006/relationships/hyperlink" Target="#SOPL!A1"/><Relationship Id="rId10" Type="http://schemas.openxmlformats.org/officeDocument/2006/relationships/hyperlink" Target="#'Comparative Analysis'!A1"/><Relationship Id="rId4" Type="http://schemas.openxmlformats.org/officeDocument/2006/relationships/hyperlink" Target="#'SOFP '!A1"/><Relationship Id="rId9" Type="http://schemas.openxmlformats.org/officeDocument/2006/relationships/hyperlink" Target="#'Common-Size Analysis'!A1"/></Relationships>
</file>

<file path=xl/drawings/_rels/drawing8.xml.rels><?xml version="1.0" encoding="UTF-8" standalone="yes"?>
<Relationships xmlns="http://schemas.openxmlformats.org/package/2006/relationships"><Relationship Id="rId8" Type="http://schemas.openxmlformats.org/officeDocument/2006/relationships/hyperlink" Target="#'Ratio Analysis'!A1"/><Relationship Id="rId3" Type="http://schemas.openxmlformats.org/officeDocument/2006/relationships/hyperlink" Target="#'Sensitivity Analysis'!A1"/><Relationship Id="rId7" Type="http://schemas.openxmlformats.org/officeDocument/2006/relationships/hyperlink" Target="#Schedule!A1"/><Relationship Id="rId2" Type="http://schemas.openxmlformats.org/officeDocument/2006/relationships/hyperlink" Target="#'Valuation-FCFF'!A1"/><Relationship Id="rId1" Type="http://schemas.openxmlformats.org/officeDocument/2006/relationships/image" Target="../media/image3.png"/><Relationship Id="rId6" Type="http://schemas.openxmlformats.org/officeDocument/2006/relationships/hyperlink" Target="#SOCF!A1"/><Relationship Id="rId11" Type="http://schemas.openxmlformats.org/officeDocument/2006/relationships/hyperlink" Target="#Dashboard!A1"/><Relationship Id="rId5" Type="http://schemas.openxmlformats.org/officeDocument/2006/relationships/hyperlink" Target="#SOPL!A1"/><Relationship Id="rId10" Type="http://schemas.openxmlformats.org/officeDocument/2006/relationships/hyperlink" Target="#'Comparative Analysis'!A1"/><Relationship Id="rId4" Type="http://schemas.openxmlformats.org/officeDocument/2006/relationships/hyperlink" Target="#'SOFP '!A1"/><Relationship Id="rId9" Type="http://schemas.openxmlformats.org/officeDocument/2006/relationships/hyperlink" Target="#'Common-Size Analysis'!A1"/></Relationships>
</file>

<file path=xl/drawings/_rels/drawing9.xml.rels><?xml version="1.0" encoding="UTF-8" standalone="yes"?>
<Relationships xmlns="http://schemas.openxmlformats.org/package/2006/relationships"><Relationship Id="rId8" Type="http://schemas.openxmlformats.org/officeDocument/2006/relationships/hyperlink" Target="#'Ratio Analysis'!A1"/><Relationship Id="rId3" Type="http://schemas.openxmlformats.org/officeDocument/2006/relationships/hyperlink" Target="#'Sensitivity Analysis'!A1"/><Relationship Id="rId7" Type="http://schemas.openxmlformats.org/officeDocument/2006/relationships/hyperlink" Target="#Schedule!A1"/><Relationship Id="rId2" Type="http://schemas.openxmlformats.org/officeDocument/2006/relationships/hyperlink" Target="#'Valuation-FCFF'!A1"/><Relationship Id="rId1" Type="http://schemas.openxmlformats.org/officeDocument/2006/relationships/image" Target="../media/image3.png"/><Relationship Id="rId6" Type="http://schemas.openxmlformats.org/officeDocument/2006/relationships/hyperlink" Target="#SOCF!A1"/><Relationship Id="rId11" Type="http://schemas.openxmlformats.org/officeDocument/2006/relationships/hyperlink" Target="#Dashboard!A1"/><Relationship Id="rId5" Type="http://schemas.openxmlformats.org/officeDocument/2006/relationships/hyperlink" Target="#SOPL!A1"/><Relationship Id="rId10" Type="http://schemas.openxmlformats.org/officeDocument/2006/relationships/hyperlink" Target="#'Comparative Analysis'!A1"/><Relationship Id="rId4" Type="http://schemas.openxmlformats.org/officeDocument/2006/relationships/hyperlink" Target="#'SOFP '!A1"/><Relationship Id="rId9" Type="http://schemas.openxmlformats.org/officeDocument/2006/relationships/hyperlink" Target="#'Common-Size Analysis'!A1"/></Relationships>
</file>

<file path=xl/drawings/_rels/drawing10.xml.rels><?xml version="1.0" encoding="UTF-8" standalone="yes"?>
<Relationships xmlns="http://schemas.openxmlformats.org/package/2006/relationships"><Relationship Id="rId8" Type="http://schemas.openxmlformats.org/officeDocument/2006/relationships/hyperlink" Target="#'Ratio Analysis'!A1"/><Relationship Id="rId3" Type="http://schemas.openxmlformats.org/officeDocument/2006/relationships/hyperlink" Target="#'Sensitivity Analysis'!A1"/><Relationship Id="rId7" Type="http://schemas.openxmlformats.org/officeDocument/2006/relationships/hyperlink" Target="#Schedule!A1"/><Relationship Id="rId2" Type="http://schemas.openxmlformats.org/officeDocument/2006/relationships/hyperlink" Target="#'Valuation-FCFF'!A1"/><Relationship Id="rId1" Type="http://schemas.openxmlformats.org/officeDocument/2006/relationships/image" Target="../media/image3.png"/><Relationship Id="rId6" Type="http://schemas.openxmlformats.org/officeDocument/2006/relationships/hyperlink" Target="#SOCF!A1"/><Relationship Id="rId11" Type="http://schemas.openxmlformats.org/officeDocument/2006/relationships/hyperlink" Target="#Dashboard!A1"/><Relationship Id="rId5" Type="http://schemas.openxmlformats.org/officeDocument/2006/relationships/hyperlink" Target="#SOPL!A1"/><Relationship Id="rId10" Type="http://schemas.openxmlformats.org/officeDocument/2006/relationships/hyperlink" Target="#'Comparative Analysis'!A1"/><Relationship Id="rId4" Type="http://schemas.openxmlformats.org/officeDocument/2006/relationships/hyperlink" Target="#'SOFP '!A1"/><Relationship Id="rId9" Type="http://schemas.openxmlformats.org/officeDocument/2006/relationships/hyperlink" Target="#'Common-Size Analysis'!A1"/></Relationships>
</file>

<file path=xl/drawings/drawing1.xml><?xml version="1.0" encoding="utf-8"?>
<xdr:wsDr xmlns:xdr="http://schemas.openxmlformats.org/drawingml/2006/spreadsheetDrawing" xmlns:a="http://schemas.openxmlformats.org/drawingml/2006/main">
  <xdr:twoCellAnchor>
    <xdr:from>
      <xdr:col>2</xdr:col>
      <xdr:colOff>168846</xdr:colOff>
      <xdr:row>0</xdr:row>
      <xdr:rowOff>0</xdr:rowOff>
    </xdr:from>
    <xdr:to>
      <xdr:col>25</xdr:col>
      <xdr:colOff>276330</xdr:colOff>
      <xdr:row>34</xdr:row>
      <xdr:rowOff>9977</xdr:rowOff>
    </xdr:to>
    <xdr:sp macro="" textlink="">
      <xdr:nvSpPr>
        <xdr:cNvPr id="3" name="Rectangle: Rounded Corners 2">
          <a:extLst>
            <a:ext uri="{FF2B5EF4-FFF2-40B4-BE49-F238E27FC236}">
              <a16:creationId xmlns:a16="http://schemas.microsoft.com/office/drawing/2014/main" id="{34839CBD-7DB0-5E2D-6F05-A51F7159AEA3}"/>
            </a:ext>
          </a:extLst>
        </xdr:cNvPr>
        <xdr:cNvSpPr/>
      </xdr:nvSpPr>
      <xdr:spPr>
        <a:xfrm>
          <a:off x="1445530" y="0"/>
          <a:ext cx="13729905" cy="6146082"/>
        </a:xfrm>
        <a:prstGeom prst="roundRect">
          <a:avLst>
            <a:gd name="adj" fmla="val 4144"/>
          </a:avLst>
        </a:prstGeom>
        <a:solidFill>
          <a:srgbClr val="F1EDF7"/>
        </a:solidFill>
        <a:ln>
          <a:solidFill>
            <a:srgbClr val="D6CBE3"/>
          </a:solidFill>
        </a:ln>
        <a:effectLst>
          <a:outerShdw blurRad="50800" dist="38100" dir="5400000" algn="t"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0</xdr:row>
      <xdr:rowOff>3391</xdr:rowOff>
    </xdr:from>
    <xdr:to>
      <xdr:col>3</xdr:col>
      <xdr:colOff>227112</xdr:colOff>
      <xdr:row>34</xdr:row>
      <xdr:rowOff>24847</xdr:rowOff>
    </xdr:to>
    <xdr:sp macro="" textlink="">
      <xdr:nvSpPr>
        <xdr:cNvPr id="2" name="Rectangle 1">
          <a:extLst>
            <a:ext uri="{FF2B5EF4-FFF2-40B4-BE49-F238E27FC236}">
              <a16:creationId xmlns:a16="http://schemas.microsoft.com/office/drawing/2014/main" id="{429593FB-6AC4-5DD4-E970-D5D73E169207}"/>
            </a:ext>
          </a:extLst>
        </xdr:cNvPr>
        <xdr:cNvSpPr/>
      </xdr:nvSpPr>
      <xdr:spPr>
        <a:xfrm>
          <a:off x="0" y="3391"/>
          <a:ext cx="1726264" cy="6216847"/>
        </a:xfrm>
        <a:prstGeom prst="rect">
          <a:avLst/>
        </a:prstGeom>
        <a:solidFill>
          <a:srgbClr val="220A43"/>
        </a:solidFill>
        <a:ln>
          <a:noFill/>
        </a:ln>
        <a:effectLst>
          <a:outerShdw blurRad="50800" dist="38100" dir="2700000" algn="tl"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ln>
              <a:solidFill>
                <a:schemeClr val="tx1"/>
              </a:solidFill>
            </a:ln>
          </a:endParaRPr>
        </a:p>
      </xdr:txBody>
    </xdr:sp>
    <xdr:clientData/>
  </xdr:twoCellAnchor>
  <xdr:twoCellAnchor>
    <xdr:from>
      <xdr:col>0</xdr:col>
      <xdr:colOff>16024</xdr:colOff>
      <xdr:row>7</xdr:row>
      <xdr:rowOff>94244</xdr:rowOff>
    </xdr:from>
    <xdr:to>
      <xdr:col>3</xdr:col>
      <xdr:colOff>169332</xdr:colOff>
      <xdr:row>10</xdr:row>
      <xdr:rowOff>174306</xdr:rowOff>
    </xdr:to>
    <xdr:sp macro="" textlink="">
      <xdr:nvSpPr>
        <xdr:cNvPr id="7" name="TextBox 6">
          <a:extLst>
            <a:ext uri="{FF2B5EF4-FFF2-40B4-BE49-F238E27FC236}">
              <a16:creationId xmlns:a16="http://schemas.microsoft.com/office/drawing/2014/main" id="{A000C6CE-922A-3D03-F47A-FB968D9987BC}"/>
            </a:ext>
          </a:extLst>
        </xdr:cNvPr>
        <xdr:cNvSpPr txBox="1"/>
      </xdr:nvSpPr>
      <xdr:spPr>
        <a:xfrm>
          <a:off x="16024" y="1369766"/>
          <a:ext cx="1669025" cy="626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b="1">
              <a:solidFill>
                <a:srgbClr val="F1EDF7"/>
              </a:solidFill>
              <a:latin typeface="Segoe UI" panose="020B0502040204020203" pitchFamily="34" charset="0"/>
              <a:cs typeface="Segoe UI" panose="020B0502040204020203" pitchFamily="34" charset="0"/>
            </a:rPr>
            <a:t>Current Mkt. Price:</a:t>
          </a:r>
        </a:p>
        <a:p>
          <a:pPr algn="l"/>
          <a:r>
            <a:rPr lang="en-IN" sz="1800" b="1">
              <a:ln>
                <a:noFill/>
              </a:ln>
              <a:solidFill>
                <a:srgbClr val="F1EDF7"/>
              </a:solidFill>
              <a:effectLst>
                <a:outerShdw blurRad="63500" sx="102000" sy="102000" algn="ctr" rotWithShape="0">
                  <a:prstClr val="black">
                    <a:alpha val="40000"/>
                  </a:prstClr>
                </a:outerShdw>
              </a:effectLst>
              <a:latin typeface="Segoe UI" panose="020B0502040204020203" pitchFamily="34" charset="0"/>
              <a:cs typeface="Segoe UI" panose="020B0502040204020203" pitchFamily="34" charset="0"/>
            </a:rPr>
            <a:t>₹</a:t>
          </a:r>
          <a:r>
            <a:rPr lang="en-IN" sz="1800" b="1" baseline="0">
              <a:ln>
                <a:noFill/>
              </a:ln>
              <a:solidFill>
                <a:srgbClr val="F1EDF7"/>
              </a:solidFill>
              <a:effectLst>
                <a:outerShdw blurRad="63500" sx="102000" sy="102000" algn="ctr" rotWithShape="0">
                  <a:prstClr val="black">
                    <a:alpha val="40000"/>
                  </a:prstClr>
                </a:outerShdw>
              </a:effectLst>
              <a:latin typeface="Segoe UI" panose="020B0502040204020203" pitchFamily="34" charset="0"/>
              <a:cs typeface="Segoe UI" panose="020B0502040204020203" pitchFamily="34" charset="0"/>
            </a:rPr>
            <a:t> </a:t>
          </a:r>
          <a:r>
            <a:rPr lang="en-IN" sz="2000" b="1" baseline="0">
              <a:ln>
                <a:noFill/>
              </a:ln>
              <a:solidFill>
                <a:srgbClr val="F1EDF7"/>
              </a:solidFill>
              <a:effectLst>
                <a:outerShdw blurRad="63500" sx="102000" sy="102000" algn="ctr" rotWithShape="0">
                  <a:prstClr val="black">
                    <a:alpha val="40000"/>
                  </a:prstClr>
                </a:outerShdw>
              </a:effectLst>
              <a:latin typeface="Segoe UI" panose="020B0502040204020203" pitchFamily="34" charset="0"/>
              <a:cs typeface="Segoe UI" panose="020B0502040204020203" pitchFamily="34" charset="0"/>
            </a:rPr>
            <a:t>2,649.40</a:t>
          </a:r>
          <a:endParaRPr lang="en-IN" sz="1800" b="1">
            <a:ln>
              <a:noFill/>
            </a:ln>
            <a:solidFill>
              <a:srgbClr val="F1EDF7"/>
            </a:solidFill>
            <a:effectLst>
              <a:outerShdw blurRad="63500" sx="102000" sy="102000" algn="ctr" rotWithShape="0">
                <a:prstClr val="black">
                  <a:alpha val="40000"/>
                </a:prstClr>
              </a:outerShdw>
            </a:effectLst>
            <a:latin typeface="Segoe UI" panose="020B0502040204020203" pitchFamily="34" charset="0"/>
            <a:cs typeface="Segoe UI" panose="020B0502040204020203" pitchFamily="34" charset="0"/>
          </a:endParaRPr>
        </a:p>
      </xdr:txBody>
    </xdr:sp>
    <xdr:clientData/>
  </xdr:twoCellAnchor>
  <xdr:twoCellAnchor>
    <xdr:from>
      <xdr:col>1</xdr:col>
      <xdr:colOff>20255</xdr:colOff>
      <xdr:row>0</xdr:row>
      <xdr:rowOff>116670</xdr:rowOff>
    </xdr:from>
    <xdr:to>
      <xdr:col>2</xdr:col>
      <xdr:colOff>200964</xdr:colOff>
      <xdr:row>6</xdr:row>
      <xdr:rowOff>159099</xdr:rowOff>
    </xdr:to>
    <xdr:grpSp>
      <xdr:nvGrpSpPr>
        <xdr:cNvPr id="46" name="Group 45">
          <a:extLst>
            <a:ext uri="{FF2B5EF4-FFF2-40B4-BE49-F238E27FC236}">
              <a16:creationId xmlns:a16="http://schemas.microsoft.com/office/drawing/2014/main" id="{FB999949-8D2C-773B-4467-9CE80A0C4CF4}"/>
            </a:ext>
          </a:extLst>
        </xdr:cNvPr>
        <xdr:cNvGrpSpPr/>
      </xdr:nvGrpSpPr>
      <xdr:grpSpPr>
        <a:xfrm>
          <a:off x="263672" y="116670"/>
          <a:ext cx="1217875" cy="1121929"/>
          <a:chOff x="237969" y="116670"/>
          <a:chExt cx="978534" cy="945440"/>
        </a:xfrm>
      </xdr:grpSpPr>
      <xdr:pic>
        <xdr:nvPicPr>
          <xdr:cNvPr id="6" name="Picture 5">
            <a:extLst>
              <a:ext uri="{FF2B5EF4-FFF2-40B4-BE49-F238E27FC236}">
                <a16:creationId xmlns:a16="http://schemas.microsoft.com/office/drawing/2014/main" id="{9B9B436B-4DD4-24E0-6A7F-78859685D016}"/>
              </a:ext>
            </a:extLst>
          </xdr:cNvPr>
          <xdr:cNvPicPr>
            <a:picLocks noChangeAspect="1"/>
          </xdr:cNvPicPr>
        </xdr:nvPicPr>
        <xdr:blipFill>
          <a:blip xmlns:r="http://schemas.openxmlformats.org/officeDocument/2006/relationships" r:embed="rId1"/>
          <a:stretch>
            <a:fillRect/>
          </a:stretch>
        </xdr:blipFill>
        <xdr:spPr>
          <a:xfrm>
            <a:off x="237969" y="116670"/>
            <a:ext cx="923994" cy="709389"/>
          </a:xfrm>
          <a:prstGeom prst="rect">
            <a:avLst/>
          </a:prstGeom>
        </xdr:spPr>
      </xdr:pic>
      <xdr:pic>
        <xdr:nvPicPr>
          <xdr:cNvPr id="12" name="Picture 11">
            <a:extLst>
              <a:ext uri="{FF2B5EF4-FFF2-40B4-BE49-F238E27FC236}">
                <a16:creationId xmlns:a16="http://schemas.microsoft.com/office/drawing/2014/main" id="{37BCA41F-09F3-B02F-CAB5-9CFE7FFDE77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8010" t="31699" b="34768"/>
          <a:stretch>
            <a:fillRect/>
          </a:stretch>
        </xdr:blipFill>
        <xdr:spPr>
          <a:xfrm>
            <a:off x="242836" y="810964"/>
            <a:ext cx="973667" cy="251146"/>
          </a:xfrm>
          <a:prstGeom prst="rect">
            <a:avLst/>
          </a:prstGeom>
        </xdr:spPr>
      </xdr:pic>
    </xdr:grpSp>
    <xdr:clientData/>
  </xdr:twoCellAnchor>
  <xdr:twoCellAnchor editAs="oneCell">
    <xdr:from>
      <xdr:col>0</xdr:col>
      <xdr:colOff>66989</xdr:colOff>
      <xdr:row>24</xdr:row>
      <xdr:rowOff>17635</xdr:rowOff>
    </xdr:from>
    <xdr:to>
      <xdr:col>3</xdr:col>
      <xdr:colOff>150543</xdr:colOff>
      <xdr:row>32</xdr:row>
      <xdr:rowOff>11761</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33042885-716B-44C0-9B1E-4FE87DE691E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6989" y="4390852"/>
              <a:ext cx="1582706" cy="1451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342969</xdr:colOff>
      <xdr:row>6</xdr:row>
      <xdr:rowOff>6029</xdr:rowOff>
    </xdr:from>
    <xdr:to>
      <xdr:col>9</xdr:col>
      <xdr:colOff>129145</xdr:colOff>
      <xdr:row>11</xdr:row>
      <xdr:rowOff>20931</xdr:rowOff>
    </xdr:to>
    <xdr:sp macro="" textlink="DashboardData!B16">
      <xdr:nvSpPr>
        <xdr:cNvPr id="14" name="Rectangle: Rounded Corners 13">
          <a:extLst>
            <a:ext uri="{FF2B5EF4-FFF2-40B4-BE49-F238E27FC236}">
              <a16:creationId xmlns:a16="http://schemas.microsoft.com/office/drawing/2014/main" id="{CA877561-0627-E0ED-CBD1-260751519F0D}"/>
            </a:ext>
          </a:extLst>
        </xdr:cNvPr>
        <xdr:cNvSpPr/>
      </xdr:nvSpPr>
      <xdr:spPr>
        <a:xfrm>
          <a:off x="3682070" y="1084816"/>
          <a:ext cx="1609839" cy="913890"/>
        </a:xfrm>
        <a:prstGeom prst="roundRect">
          <a:avLst/>
        </a:prstGeom>
        <a:solidFill>
          <a:srgbClr val="F1EDF7"/>
        </a:solidFill>
        <a:ln>
          <a:solidFill>
            <a:srgbClr val="D6CBE3"/>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rgbClr val="220A43"/>
              </a:solidFill>
              <a:latin typeface="Segoe UI" panose="020B0502040204020203" pitchFamily="34" charset="0"/>
              <a:ea typeface="Calibri"/>
              <a:cs typeface="Segoe UI" panose="020B0502040204020203" pitchFamily="34" charset="0"/>
            </a:rPr>
            <a:t>TERMINAL VALUE</a:t>
          </a:r>
        </a:p>
        <a:p>
          <a:pPr algn="ctr"/>
          <a:endParaRPr lang="en-US" sz="400" b="1" i="0" u="none" strike="noStrike">
            <a:solidFill>
              <a:srgbClr val="220A43"/>
            </a:solidFill>
            <a:latin typeface="Segoe UI" panose="020B0502040204020203" pitchFamily="34" charset="0"/>
            <a:ea typeface="Calibri"/>
            <a:cs typeface="Segoe UI" panose="020B0502040204020203" pitchFamily="34" charset="0"/>
          </a:endParaRPr>
        </a:p>
        <a:p>
          <a:pPr algn="ctr"/>
          <a:fld id="{17F8117A-62EA-45CE-BD3C-C6E8F178AE7B}" type="TxLink">
            <a:rPr lang="en-US" sz="1800" b="1" i="0" u="none" strike="noStrike">
              <a:solidFill>
                <a:srgbClr val="220A43"/>
              </a:solidFill>
              <a:latin typeface="Segoe UI" panose="020B0502040204020203" pitchFamily="34" charset="0"/>
              <a:ea typeface="Calibri"/>
              <a:cs typeface="Segoe UI" panose="020B0502040204020203" pitchFamily="34" charset="0"/>
            </a:rPr>
            <a:pPr algn="ctr"/>
            <a:t>₹ 32,916 Cr.</a:t>
          </a:fld>
          <a:endParaRPr lang="en-IN" sz="1800" b="1">
            <a:solidFill>
              <a:srgbClr val="220A43"/>
            </a:solidFill>
            <a:latin typeface="Segoe UI" panose="020B0502040204020203" pitchFamily="34" charset="0"/>
            <a:cs typeface="Segoe UI" panose="020B0502040204020203" pitchFamily="34" charset="0"/>
          </a:endParaRPr>
        </a:p>
      </xdr:txBody>
    </xdr:sp>
    <xdr:clientData/>
  </xdr:twoCellAnchor>
  <xdr:twoCellAnchor>
    <xdr:from>
      <xdr:col>3</xdr:col>
      <xdr:colOff>418570</xdr:colOff>
      <xdr:row>6</xdr:row>
      <xdr:rowOff>6029</xdr:rowOff>
    </xdr:from>
    <xdr:to>
      <xdr:col>6</xdr:col>
      <xdr:colOff>204746</xdr:colOff>
      <xdr:row>11</xdr:row>
      <xdr:rowOff>20931</xdr:rowOff>
    </xdr:to>
    <xdr:sp macro="" textlink="DashboardData!B15">
      <xdr:nvSpPr>
        <xdr:cNvPr id="15" name="Rectangle: Rounded Corners 14">
          <a:extLst>
            <a:ext uri="{FF2B5EF4-FFF2-40B4-BE49-F238E27FC236}">
              <a16:creationId xmlns:a16="http://schemas.microsoft.com/office/drawing/2014/main" id="{5ADF542C-0E9D-88F2-DDAD-D4E72A6EF470}"/>
            </a:ext>
          </a:extLst>
        </xdr:cNvPr>
        <xdr:cNvSpPr/>
      </xdr:nvSpPr>
      <xdr:spPr>
        <a:xfrm>
          <a:off x="1934008" y="1084816"/>
          <a:ext cx="1609839" cy="913890"/>
        </a:xfrm>
        <a:prstGeom prst="roundRect">
          <a:avLst/>
        </a:prstGeom>
        <a:solidFill>
          <a:srgbClr val="F1EDF7"/>
        </a:solidFill>
        <a:ln>
          <a:solidFill>
            <a:srgbClr val="D6CBE3"/>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rgbClr val="210645"/>
              </a:solidFill>
              <a:latin typeface="Segoe UI" panose="020B0502040204020203" pitchFamily="34" charset="0"/>
              <a:ea typeface="Calibri"/>
              <a:cs typeface="Segoe UI" panose="020B0502040204020203" pitchFamily="34" charset="0"/>
            </a:rPr>
            <a:t>PV OF FCFF </a:t>
          </a:r>
        </a:p>
        <a:p>
          <a:pPr algn="ctr"/>
          <a:r>
            <a:rPr lang="en-US" sz="800" b="1" i="0" u="none" strike="noStrike">
              <a:solidFill>
                <a:srgbClr val="210645"/>
              </a:solidFill>
              <a:latin typeface="Segoe UI" panose="020B0502040204020203" pitchFamily="34" charset="0"/>
              <a:ea typeface="Calibri"/>
              <a:cs typeface="Segoe UI" panose="020B0502040204020203" pitchFamily="34" charset="0"/>
            </a:rPr>
            <a:t>(FY27E-FY30E)</a:t>
          </a:r>
          <a:endParaRPr lang="en-US" sz="1100" b="1" i="0" u="none" strike="noStrike">
            <a:solidFill>
              <a:srgbClr val="210645"/>
            </a:solidFill>
            <a:latin typeface="Segoe UI" panose="020B0502040204020203" pitchFamily="34" charset="0"/>
            <a:ea typeface="Calibri"/>
            <a:cs typeface="Segoe UI" panose="020B0502040204020203" pitchFamily="34" charset="0"/>
          </a:endParaRPr>
        </a:p>
        <a:p>
          <a:pPr algn="ctr"/>
          <a:endParaRPr lang="en-US" sz="400" b="1" i="0" u="none" strike="noStrike">
            <a:solidFill>
              <a:srgbClr val="210645"/>
            </a:solidFill>
            <a:latin typeface="Segoe UI" panose="020B0502040204020203" pitchFamily="34" charset="0"/>
            <a:ea typeface="Calibri"/>
            <a:cs typeface="Segoe UI" panose="020B0502040204020203" pitchFamily="34" charset="0"/>
          </a:endParaRPr>
        </a:p>
        <a:p>
          <a:pPr algn="ctr"/>
          <a:fld id="{71B3DB45-C9B4-4525-80DF-4957322D96E7}" type="TxLink">
            <a:rPr lang="en-US" sz="1800" b="1" i="0" u="none" strike="noStrike">
              <a:solidFill>
                <a:srgbClr val="210645"/>
              </a:solidFill>
              <a:latin typeface="Segoe UI" panose="020B0502040204020203" pitchFamily="34" charset="0"/>
              <a:ea typeface="Calibri"/>
              <a:cs typeface="Segoe UI" panose="020B0502040204020203" pitchFamily="34" charset="0"/>
            </a:rPr>
            <a:pPr algn="ctr"/>
            <a:t>₹ 9,749 Cr.</a:t>
          </a:fld>
          <a:endParaRPr lang="en-IN" sz="1800" b="1">
            <a:solidFill>
              <a:srgbClr val="220A43"/>
            </a:solidFill>
            <a:latin typeface="Segoe UI" panose="020B0502040204020203" pitchFamily="34" charset="0"/>
            <a:cs typeface="Segoe UI" panose="020B0502040204020203" pitchFamily="34" charset="0"/>
          </a:endParaRPr>
        </a:p>
      </xdr:txBody>
    </xdr:sp>
    <xdr:clientData/>
  </xdr:twoCellAnchor>
  <xdr:twoCellAnchor>
    <xdr:from>
      <xdr:col>9</xdr:col>
      <xdr:colOff>267368</xdr:colOff>
      <xdr:row>6</xdr:row>
      <xdr:rowOff>6029</xdr:rowOff>
    </xdr:from>
    <xdr:to>
      <xdr:col>12</xdr:col>
      <xdr:colOff>53543</xdr:colOff>
      <xdr:row>11</xdr:row>
      <xdr:rowOff>20931</xdr:rowOff>
    </xdr:to>
    <xdr:sp macro="" textlink="DashboardData!B17">
      <xdr:nvSpPr>
        <xdr:cNvPr id="16" name="Rectangle: Rounded Corners 15">
          <a:extLst>
            <a:ext uri="{FF2B5EF4-FFF2-40B4-BE49-F238E27FC236}">
              <a16:creationId xmlns:a16="http://schemas.microsoft.com/office/drawing/2014/main" id="{69D65142-5E40-94C2-867F-0836D6B1780B}"/>
            </a:ext>
          </a:extLst>
        </xdr:cNvPr>
        <xdr:cNvSpPr/>
      </xdr:nvSpPr>
      <xdr:spPr>
        <a:xfrm>
          <a:off x="5430132" y="1084816"/>
          <a:ext cx="1609838" cy="913890"/>
        </a:xfrm>
        <a:prstGeom prst="roundRect">
          <a:avLst/>
        </a:prstGeom>
        <a:solidFill>
          <a:srgbClr val="F1EDF7"/>
        </a:solidFill>
        <a:ln>
          <a:solidFill>
            <a:srgbClr val="D6CBE3"/>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rgbClr val="210645"/>
              </a:solidFill>
              <a:latin typeface="Segoe UI" panose="020B0502040204020203" pitchFamily="34" charset="0"/>
              <a:ea typeface="Calibri"/>
              <a:cs typeface="Segoe UI" panose="020B0502040204020203" pitchFamily="34" charset="0"/>
            </a:rPr>
            <a:t>VALUE</a:t>
          </a:r>
          <a:r>
            <a:rPr lang="en-US" sz="1100" b="1" i="0" u="none" strike="noStrike" baseline="0">
              <a:solidFill>
                <a:srgbClr val="210645"/>
              </a:solidFill>
              <a:latin typeface="Segoe UI" panose="020B0502040204020203" pitchFamily="34" charset="0"/>
              <a:ea typeface="Calibri"/>
              <a:cs typeface="Segoe UI" panose="020B0502040204020203" pitchFamily="34" charset="0"/>
            </a:rPr>
            <a:t> OF FIRM</a:t>
          </a:r>
        </a:p>
        <a:p>
          <a:pPr algn="ctr"/>
          <a:endParaRPr lang="en-US" sz="400" b="1" i="0" u="none" strike="noStrike" baseline="0">
            <a:solidFill>
              <a:srgbClr val="210645"/>
            </a:solidFill>
            <a:latin typeface="Segoe UI" panose="020B0502040204020203" pitchFamily="34" charset="0"/>
            <a:ea typeface="Calibri"/>
            <a:cs typeface="Segoe UI" panose="020B0502040204020203" pitchFamily="34" charset="0"/>
          </a:endParaRPr>
        </a:p>
        <a:p>
          <a:pPr algn="ctr"/>
          <a:fld id="{32F79D2B-E5A2-4596-8D93-299D53D3ACD0}" type="TxLink">
            <a:rPr lang="en-US" sz="1800" b="1" i="0" u="none" strike="noStrike">
              <a:solidFill>
                <a:srgbClr val="210645"/>
              </a:solidFill>
              <a:latin typeface="Segoe UI" panose="020B0502040204020203" pitchFamily="34" charset="0"/>
              <a:ea typeface="Calibri"/>
              <a:cs typeface="Segoe UI" panose="020B0502040204020203" pitchFamily="34" charset="0"/>
            </a:rPr>
            <a:pPr algn="ctr"/>
            <a:t>₹ 42,665 Cr.</a:t>
          </a:fld>
          <a:endParaRPr lang="en-IN" sz="1800" b="1">
            <a:solidFill>
              <a:srgbClr val="220A43"/>
            </a:solidFill>
            <a:latin typeface="Segoe UI" panose="020B0502040204020203" pitchFamily="34" charset="0"/>
            <a:cs typeface="Segoe UI" panose="020B0502040204020203" pitchFamily="34" charset="0"/>
          </a:endParaRPr>
        </a:p>
      </xdr:txBody>
    </xdr:sp>
    <xdr:clientData/>
  </xdr:twoCellAnchor>
  <xdr:twoCellAnchor>
    <xdr:from>
      <xdr:col>12</xdr:col>
      <xdr:colOff>191766</xdr:colOff>
      <xdr:row>6</xdr:row>
      <xdr:rowOff>6029</xdr:rowOff>
    </xdr:from>
    <xdr:to>
      <xdr:col>14</xdr:col>
      <xdr:colOff>589217</xdr:colOff>
      <xdr:row>11</xdr:row>
      <xdr:rowOff>20931</xdr:rowOff>
    </xdr:to>
    <xdr:sp macro="" textlink="DashboardData!B18">
      <xdr:nvSpPr>
        <xdr:cNvPr id="17" name="Rectangle: Rounded Corners 16">
          <a:extLst>
            <a:ext uri="{FF2B5EF4-FFF2-40B4-BE49-F238E27FC236}">
              <a16:creationId xmlns:a16="http://schemas.microsoft.com/office/drawing/2014/main" id="{9D8160C2-153E-6954-BE3A-33F7AF6AEE86}"/>
            </a:ext>
          </a:extLst>
        </xdr:cNvPr>
        <xdr:cNvSpPr/>
      </xdr:nvSpPr>
      <xdr:spPr>
        <a:xfrm>
          <a:off x="7178193" y="1084816"/>
          <a:ext cx="1613226" cy="913890"/>
        </a:xfrm>
        <a:prstGeom prst="roundRect">
          <a:avLst/>
        </a:prstGeom>
        <a:solidFill>
          <a:srgbClr val="F1EDF7"/>
        </a:solidFill>
        <a:ln>
          <a:solidFill>
            <a:srgbClr val="D6CBE3"/>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rgbClr val="210645"/>
              </a:solidFill>
              <a:latin typeface="Segoe UI" panose="020B0502040204020203" pitchFamily="34" charset="0"/>
              <a:ea typeface="Calibri"/>
              <a:cs typeface="Segoe UI" panose="020B0502040204020203" pitchFamily="34" charset="0"/>
            </a:rPr>
            <a:t>EQUITY VALUE</a:t>
          </a:r>
        </a:p>
        <a:p>
          <a:pPr algn="l"/>
          <a:endParaRPr lang="en-US" sz="400" b="1" i="0" u="none" strike="noStrike">
            <a:solidFill>
              <a:srgbClr val="210645"/>
            </a:solidFill>
            <a:latin typeface="Segoe UI" panose="020B0502040204020203" pitchFamily="34" charset="0"/>
            <a:ea typeface="Calibri"/>
            <a:cs typeface="Segoe UI" panose="020B0502040204020203" pitchFamily="34" charset="0"/>
          </a:endParaRPr>
        </a:p>
        <a:p>
          <a:pPr algn="ctr"/>
          <a:fld id="{D45C8B6E-C108-406F-A807-D372914A2AFA}" type="TxLink">
            <a:rPr lang="en-US" sz="1800" b="1" i="0" u="none" strike="noStrike">
              <a:solidFill>
                <a:srgbClr val="210645"/>
              </a:solidFill>
              <a:latin typeface="Segoe UI" panose="020B0502040204020203" pitchFamily="34" charset="0"/>
              <a:ea typeface="Calibri"/>
              <a:cs typeface="Segoe UI" panose="020B0502040204020203" pitchFamily="34" charset="0"/>
            </a:rPr>
            <a:pPr algn="ctr"/>
            <a:t>₹ 40,111 Cr.</a:t>
          </a:fld>
          <a:endParaRPr lang="en-IN" sz="1800" b="1">
            <a:solidFill>
              <a:srgbClr val="220A43"/>
            </a:solidFill>
            <a:latin typeface="Segoe UI" panose="020B0502040204020203" pitchFamily="34" charset="0"/>
            <a:cs typeface="Segoe UI" panose="020B0502040204020203" pitchFamily="34" charset="0"/>
          </a:endParaRPr>
        </a:p>
      </xdr:txBody>
    </xdr:sp>
    <xdr:clientData/>
  </xdr:twoCellAnchor>
  <xdr:twoCellAnchor>
    <xdr:from>
      <xdr:col>15</xdr:col>
      <xdr:colOff>116163</xdr:colOff>
      <xdr:row>3</xdr:row>
      <xdr:rowOff>110180</xdr:rowOff>
    </xdr:from>
    <xdr:to>
      <xdr:col>17</xdr:col>
      <xdr:colOff>586154</xdr:colOff>
      <xdr:row>11</xdr:row>
      <xdr:rowOff>20931</xdr:rowOff>
    </xdr:to>
    <xdr:sp macro="" textlink="DashboardData!B19">
      <xdr:nvSpPr>
        <xdr:cNvPr id="25" name="Rectangle: Rounded Corners 24">
          <a:extLst>
            <a:ext uri="{FF2B5EF4-FFF2-40B4-BE49-F238E27FC236}">
              <a16:creationId xmlns:a16="http://schemas.microsoft.com/office/drawing/2014/main" id="{23A510F6-2C02-6C29-2C94-D01FA635BA1B}"/>
            </a:ext>
          </a:extLst>
        </xdr:cNvPr>
        <xdr:cNvSpPr/>
      </xdr:nvSpPr>
      <xdr:spPr>
        <a:xfrm>
          <a:off x="8926253" y="649573"/>
          <a:ext cx="1685766" cy="1349133"/>
        </a:xfrm>
        <a:prstGeom prst="roundRect">
          <a:avLst>
            <a:gd name="adj" fmla="val 26337"/>
          </a:avLst>
        </a:prstGeom>
        <a:solidFill>
          <a:srgbClr val="F1EDF7"/>
        </a:solidFill>
        <a:ln w="3175">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ln w="3175">
                <a:noFill/>
              </a:ln>
              <a:solidFill>
                <a:schemeClr val="accent1">
                  <a:lumMod val="50000"/>
                </a:schemeClr>
              </a:solidFill>
              <a:latin typeface="Segoe UI" panose="020B0502040204020203" pitchFamily="34" charset="0"/>
              <a:ea typeface="Calibri"/>
              <a:cs typeface="Segoe UI" panose="020B0502040204020203" pitchFamily="34" charset="0"/>
            </a:rPr>
            <a:t>INTRINSIC</a:t>
          </a:r>
          <a:r>
            <a:rPr lang="en-US" sz="1200" b="1" i="0" u="none" strike="noStrike" baseline="0">
              <a:ln w="3175">
                <a:noFill/>
              </a:ln>
              <a:solidFill>
                <a:schemeClr val="accent1">
                  <a:lumMod val="50000"/>
                </a:schemeClr>
              </a:solidFill>
              <a:latin typeface="Segoe UI" panose="020B0502040204020203" pitchFamily="34" charset="0"/>
              <a:ea typeface="Calibri"/>
              <a:cs typeface="Segoe UI" panose="020B0502040204020203" pitchFamily="34" charset="0"/>
            </a:rPr>
            <a:t> VALUE PER SHARE</a:t>
          </a:r>
          <a:endParaRPr lang="en-US" sz="1200" b="1" i="0" u="none" strike="noStrike">
            <a:ln w="3175">
              <a:noFill/>
            </a:ln>
            <a:solidFill>
              <a:schemeClr val="accent1">
                <a:lumMod val="50000"/>
              </a:schemeClr>
            </a:solidFill>
            <a:latin typeface="Segoe UI" panose="020B0502040204020203" pitchFamily="34" charset="0"/>
            <a:ea typeface="Calibri"/>
            <a:cs typeface="Segoe UI" panose="020B0502040204020203" pitchFamily="34" charset="0"/>
          </a:endParaRPr>
        </a:p>
        <a:p>
          <a:pPr algn="ctr"/>
          <a:endParaRPr lang="en-US" sz="500" b="1" i="0" u="none" strike="noStrike">
            <a:ln w="3175">
              <a:noFill/>
            </a:ln>
            <a:solidFill>
              <a:schemeClr val="accent1">
                <a:lumMod val="50000"/>
              </a:schemeClr>
            </a:solidFill>
            <a:latin typeface="Segoe UI" panose="020B0502040204020203" pitchFamily="34" charset="0"/>
            <a:ea typeface="Calibri"/>
            <a:cs typeface="Segoe UI" panose="020B0502040204020203" pitchFamily="34" charset="0"/>
          </a:endParaRPr>
        </a:p>
        <a:p>
          <a:pPr algn="ctr"/>
          <a:r>
            <a:rPr lang="en-US" sz="2000" b="1" i="0" u="none" strike="noStrike">
              <a:ln w="3175">
                <a:noFill/>
              </a:ln>
              <a:solidFill>
                <a:schemeClr val="accent1">
                  <a:lumMod val="50000"/>
                </a:schemeClr>
              </a:solidFill>
              <a:latin typeface="Segoe UI" panose="020B0502040204020203" pitchFamily="34" charset="0"/>
              <a:ea typeface="Calibri"/>
              <a:cs typeface="Segoe UI" panose="020B0502040204020203" pitchFamily="34" charset="0"/>
            </a:rPr>
            <a:t>₹ </a:t>
          </a:r>
          <a:fld id="{142037DA-835F-403D-AD3B-D091277B7C9D}" type="TxLink">
            <a:rPr lang="en-US" sz="2000" b="1" i="0" u="none" strike="noStrike">
              <a:ln w="3175">
                <a:noFill/>
              </a:ln>
              <a:solidFill>
                <a:schemeClr val="accent1">
                  <a:lumMod val="50000"/>
                </a:schemeClr>
              </a:solidFill>
              <a:latin typeface="Segoe UI" panose="020B0502040204020203" pitchFamily="34" charset="0"/>
              <a:ea typeface="Calibri"/>
              <a:cs typeface="Segoe UI" panose="020B0502040204020203" pitchFamily="34" charset="0"/>
            </a:rPr>
            <a:pPr algn="ctr"/>
            <a:t>418.42</a:t>
          </a:fld>
          <a:endParaRPr lang="en-IN" sz="2000" b="1">
            <a:ln w="3175">
              <a:noFill/>
            </a:ln>
            <a:solidFill>
              <a:schemeClr val="accent1">
                <a:lumMod val="50000"/>
              </a:schemeClr>
            </a:solidFill>
            <a:latin typeface="Segoe UI" panose="020B0502040204020203" pitchFamily="34" charset="0"/>
            <a:cs typeface="Segoe UI" panose="020B0502040204020203" pitchFamily="34" charset="0"/>
          </a:endParaRPr>
        </a:p>
      </xdr:txBody>
    </xdr:sp>
    <xdr:clientData/>
  </xdr:twoCellAnchor>
  <xdr:twoCellAnchor>
    <xdr:from>
      <xdr:col>15</xdr:col>
      <xdr:colOff>138794</xdr:colOff>
      <xdr:row>12</xdr:row>
      <xdr:rowOff>47608</xdr:rowOff>
    </xdr:from>
    <xdr:to>
      <xdr:col>17</xdr:col>
      <xdr:colOff>536245</xdr:colOff>
      <xdr:row>17</xdr:row>
      <xdr:rowOff>62509</xdr:rowOff>
    </xdr:to>
    <xdr:sp macro="" textlink="DashboardData!B20">
      <xdr:nvSpPr>
        <xdr:cNvPr id="26" name="Rectangle: Rounded Corners 25">
          <a:extLst>
            <a:ext uri="{FF2B5EF4-FFF2-40B4-BE49-F238E27FC236}">
              <a16:creationId xmlns:a16="http://schemas.microsoft.com/office/drawing/2014/main" id="{E11391F3-892E-2FE4-ED6C-D92678E5ADE1}"/>
            </a:ext>
          </a:extLst>
        </xdr:cNvPr>
        <xdr:cNvSpPr/>
      </xdr:nvSpPr>
      <xdr:spPr>
        <a:xfrm>
          <a:off x="8948884" y="2205181"/>
          <a:ext cx="1613226" cy="913890"/>
        </a:xfrm>
        <a:prstGeom prst="roundRect">
          <a:avLst/>
        </a:prstGeom>
        <a:solidFill>
          <a:srgbClr val="F1EDF7"/>
        </a:solidFill>
        <a:ln>
          <a:solidFill>
            <a:srgbClr val="D6CBE3"/>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rgbClr val="210645"/>
              </a:solidFill>
              <a:latin typeface="Segoe UI" panose="020B0502040204020203" pitchFamily="34" charset="0"/>
              <a:ea typeface="Calibri"/>
              <a:cs typeface="Segoe UI" panose="020B0502040204020203" pitchFamily="34" charset="0"/>
            </a:rPr>
            <a:t>WACC</a:t>
          </a:r>
        </a:p>
        <a:p>
          <a:pPr algn="ctr"/>
          <a:endParaRPr lang="en-US" sz="400" b="1" i="0" u="none" strike="noStrike">
            <a:solidFill>
              <a:srgbClr val="210645"/>
            </a:solidFill>
            <a:latin typeface="Segoe UI" panose="020B0502040204020203" pitchFamily="34" charset="0"/>
            <a:ea typeface="Calibri"/>
            <a:cs typeface="Segoe UI" panose="020B0502040204020203" pitchFamily="34" charset="0"/>
          </a:endParaRPr>
        </a:p>
        <a:p>
          <a:pPr algn="ctr"/>
          <a:fld id="{7DA240E2-63D9-4954-B923-827710A1E94D}" type="TxLink">
            <a:rPr lang="en-US" sz="1800" b="1" i="0" u="none" strike="noStrike">
              <a:solidFill>
                <a:srgbClr val="210645"/>
              </a:solidFill>
              <a:latin typeface="Segoe UI" panose="020B0502040204020203" pitchFamily="34" charset="0"/>
              <a:ea typeface="Calibri"/>
              <a:cs typeface="Segoe UI" panose="020B0502040204020203" pitchFamily="34" charset="0"/>
            </a:rPr>
            <a:pPr algn="ctr"/>
            <a:t>11.92%</a:t>
          </a:fld>
          <a:endParaRPr lang="en-IN" sz="1800" b="1">
            <a:solidFill>
              <a:srgbClr val="220A43"/>
            </a:solidFill>
            <a:latin typeface="Segoe UI" panose="020B0502040204020203" pitchFamily="34" charset="0"/>
            <a:cs typeface="Segoe UI" panose="020B0502040204020203" pitchFamily="34" charset="0"/>
          </a:endParaRPr>
        </a:p>
      </xdr:txBody>
    </xdr:sp>
    <xdr:clientData/>
  </xdr:twoCellAnchor>
  <xdr:twoCellAnchor>
    <xdr:from>
      <xdr:col>6</xdr:col>
      <xdr:colOff>344900</xdr:colOff>
      <xdr:row>12</xdr:row>
      <xdr:rowOff>47608</xdr:rowOff>
    </xdr:from>
    <xdr:to>
      <xdr:col>9</xdr:col>
      <xdr:colOff>131076</xdr:colOff>
      <xdr:row>17</xdr:row>
      <xdr:rowOff>62509</xdr:rowOff>
    </xdr:to>
    <xdr:sp macro="" textlink="'Valuation-FCFF'!J22">
      <xdr:nvSpPr>
        <xdr:cNvPr id="28" name="Rectangle: Rounded Corners 27">
          <a:extLst>
            <a:ext uri="{FF2B5EF4-FFF2-40B4-BE49-F238E27FC236}">
              <a16:creationId xmlns:a16="http://schemas.microsoft.com/office/drawing/2014/main" id="{F515778D-F0F3-92A6-BFF5-E3ADEFD1F8C1}"/>
            </a:ext>
          </a:extLst>
        </xdr:cNvPr>
        <xdr:cNvSpPr/>
      </xdr:nvSpPr>
      <xdr:spPr>
        <a:xfrm>
          <a:off x="3684001" y="2205181"/>
          <a:ext cx="1609839" cy="913890"/>
        </a:xfrm>
        <a:prstGeom prst="roundRect">
          <a:avLst/>
        </a:prstGeom>
        <a:solidFill>
          <a:srgbClr val="F1EDF7"/>
        </a:solidFill>
        <a:ln>
          <a:solidFill>
            <a:srgbClr val="D6CBE3"/>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rgbClr val="210645"/>
              </a:solidFill>
              <a:latin typeface="Segoe UI" panose="020B0502040204020203" pitchFamily="34" charset="0"/>
              <a:ea typeface="Calibri"/>
              <a:cs typeface="Segoe UI" panose="020B0502040204020203" pitchFamily="34" charset="0"/>
            </a:rPr>
            <a:t>TERMINAL GROWTH RATE </a:t>
          </a:r>
        </a:p>
        <a:p>
          <a:pPr algn="ctr"/>
          <a:endParaRPr lang="en-US" sz="400" b="1" i="0" u="none" strike="noStrike">
            <a:solidFill>
              <a:srgbClr val="210645"/>
            </a:solidFill>
            <a:latin typeface="Segoe UI" panose="020B0502040204020203" pitchFamily="34" charset="0"/>
            <a:ea typeface="Calibri"/>
            <a:cs typeface="Segoe UI" panose="020B0502040204020203" pitchFamily="34" charset="0"/>
          </a:endParaRPr>
        </a:p>
        <a:p>
          <a:pPr algn="ctr"/>
          <a:fld id="{7CA6FB62-CCD1-4F1D-89D2-C3250C2B00D3}" type="TxLink">
            <a:rPr lang="en-US" sz="1800" b="1" i="0" u="none" strike="noStrike">
              <a:solidFill>
                <a:srgbClr val="210645"/>
              </a:solidFill>
              <a:latin typeface="Segoe UI" panose="020B0502040204020203" pitchFamily="34" charset="0"/>
              <a:ea typeface="Calibri"/>
              <a:cs typeface="Segoe UI" panose="020B0502040204020203" pitchFamily="34" charset="0"/>
            </a:rPr>
            <a:pPr algn="ctr"/>
            <a:t>4.85%</a:t>
          </a:fld>
          <a:endParaRPr lang="en-IN" sz="1800" b="1">
            <a:solidFill>
              <a:srgbClr val="220A43"/>
            </a:solidFill>
            <a:latin typeface="Segoe UI" panose="020B0502040204020203" pitchFamily="34" charset="0"/>
            <a:cs typeface="Segoe UI" panose="020B0502040204020203" pitchFamily="34" charset="0"/>
          </a:endParaRPr>
        </a:p>
      </xdr:txBody>
    </xdr:sp>
    <xdr:clientData/>
  </xdr:twoCellAnchor>
  <xdr:twoCellAnchor>
    <xdr:from>
      <xdr:col>9</xdr:col>
      <xdr:colOff>276198</xdr:colOff>
      <xdr:row>12</xdr:row>
      <xdr:rowOff>47608</xdr:rowOff>
    </xdr:from>
    <xdr:to>
      <xdr:col>12</xdr:col>
      <xdr:colOff>62373</xdr:colOff>
      <xdr:row>17</xdr:row>
      <xdr:rowOff>62509</xdr:rowOff>
    </xdr:to>
    <xdr:sp macro="" textlink="'Valuation-FCFF'!J31">
      <xdr:nvSpPr>
        <xdr:cNvPr id="29" name="Rectangle: Rounded Corners 28">
          <a:extLst>
            <a:ext uri="{FF2B5EF4-FFF2-40B4-BE49-F238E27FC236}">
              <a16:creationId xmlns:a16="http://schemas.microsoft.com/office/drawing/2014/main" id="{8AD9CF3C-8BA7-37DD-57ED-681D1DC5248F}"/>
            </a:ext>
          </a:extLst>
        </xdr:cNvPr>
        <xdr:cNvSpPr/>
      </xdr:nvSpPr>
      <xdr:spPr>
        <a:xfrm>
          <a:off x="5438962" y="2205181"/>
          <a:ext cx="1609838" cy="913890"/>
        </a:xfrm>
        <a:prstGeom prst="roundRect">
          <a:avLst/>
        </a:prstGeom>
        <a:solidFill>
          <a:srgbClr val="F1EDF7"/>
        </a:solidFill>
        <a:ln>
          <a:solidFill>
            <a:srgbClr val="D6CBE3"/>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rgbClr val="210645"/>
              </a:solidFill>
              <a:latin typeface="Segoe UI" panose="020B0502040204020203" pitchFamily="34" charset="0"/>
              <a:ea typeface="Calibri"/>
              <a:cs typeface="Segoe UI" panose="020B0502040204020203" pitchFamily="34" charset="0"/>
            </a:rPr>
            <a:t>CAPM (Ke)</a:t>
          </a:r>
        </a:p>
        <a:p>
          <a:pPr algn="ctr"/>
          <a:endParaRPr lang="en-US" sz="400" b="1" i="0" u="none" strike="noStrike">
            <a:solidFill>
              <a:srgbClr val="210645"/>
            </a:solidFill>
            <a:latin typeface="Segoe UI" panose="020B0502040204020203" pitchFamily="34" charset="0"/>
            <a:ea typeface="Calibri"/>
            <a:cs typeface="Segoe UI" panose="020B0502040204020203" pitchFamily="34" charset="0"/>
          </a:endParaRPr>
        </a:p>
        <a:p>
          <a:pPr algn="ctr"/>
          <a:fld id="{8A6A1E04-AAB5-4D94-98CF-0D58F9355AE0}" type="TxLink">
            <a:rPr lang="en-US" sz="1800" b="1" i="0" u="none" strike="noStrike">
              <a:solidFill>
                <a:srgbClr val="210645"/>
              </a:solidFill>
              <a:latin typeface="Segoe UI" panose="020B0502040204020203" pitchFamily="34" charset="0"/>
              <a:ea typeface="Calibri"/>
              <a:cs typeface="Segoe UI" panose="020B0502040204020203" pitchFamily="34" charset="0"/>
            </a:rPr>
            <a:pPr algn="ctr"/>
            <a:t>12.90%</a:t>
          </a:fld>
          <a:endParaRPr lang="en-IN" sz="1800" b="1">
            <a:solidFill>
              <a:srgbClr val="220A43"/>
            </a:solidFill>
            <a:latin typeface="Segoe UI" panose="020B0502040204020203" pitchFamily="34" charset="0"/>
            <a:cs typeface="Segoe UI" panose="020B0502040204020203" pitchFamily="34" charset="0"/>
          </a:endParaRPr>
        </a:p>
      </xdr:txBody>
    </xdr:sp>
    <xdr:clientData/>
  </xdr:twoCellAnchor>
  <xdr:twoCellAnchor>
    <xdr:from>
      <xdr:col>12</xdr:col>
      <xdr:colOff>207495</xdr:colOff>
      <xdr:row>12</xdr:row>
      <xdr:rowOff>47608</xdr:rowOff>
    </xdr:from>
    <xdr:to>
      <xdr:col>14</xdr:col>
      <xdr:colOff>604946</xdr:colOff>
      <xdr:row>17</xdr:row>
      <xdr:rowOff>62509</xdr:rowOff>
    </xdr:to>
    <xdr:sp macro="" textlink="'Valuation-FCFF'!J30">
      <xdr:nvSpPr>
        <xdr:cNvPr id="31" name="Rectangle: Rounded Corners 30">
          <a:extLst>
            <a:ext uri="{FF2B5EF4-FFF2-40B4-BE49-F238E27FC236}">
              <a16:creationId xmlns:a16="http://schemas.microsoft.com/office/drawing/2014/main" id="{50932EE7-0E0B-4B00-BB3C-C6304E2A687F}"/>
            </a:ext>
          </a:extLst>
        </xdr:cNvPr>
        <xdr:cNvSpPr/>
      </xdr:nvSpPr>
      <xdr:spPr>
        <a:xfrm>
          <a:off x="7193922" y="2205181"/>
          <a:ext cx="1613226" cy="913890"/>
        </a:xfrm>
        <a:prstGeom prst="roundRect">
          <a:avLst/>
        </a:prstGeom>
        <a:solidFill>
          <a:srgbClr val="F1EDF7"/>
        </a:solidFill>
        <a:ln>
          <a:solidFill>
            <a:srgbClr val="D6CBE3"/>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rgbClr val="210645"/>
              </a:solidFill>
              <a:latin typeface="Segoe UI" panose="020B0502040204020203" pitchFamily="34" charset="0"/>
              <a:ea typeface="Calibri"/>
              <a:cs typeface="Segoe UI" panose="020B0502040204020203" pitchFamily="34" charset="0"/>
            </a:rPr>
            <a:t>POST-TAX</a:t>
          </a:r>
          <a:r>
            <a:rPr lang="en-US" sz="1100" b="1" i="0" u="none" strike="noStrike" baseline="0">
              <a:solidFill>
                <a:srgbClr val="210645"/>
              </a:solidFill>
              <a:latin typeface="Segoe UI" panose="020B0502040204020203" pitchFamily="34" charset="0"/>
              <a:ea typeface="Calibri"/>
              <a:cs typeface="Segoe UI" panose="020B0502040204020203" pitchFamily="34" charset="0"/>
            </a:rPr>
            <a:t> COST OF DEBT [Kd*(1-T)]</a:t>
          </a:r>
        </a:p>
        <a:p>
          <a:pPr algn="ctr"/>
          <a:endParaRPr lang="en-US" sz="400" b="1" i="0" u="none" strike="noStrike" baseline="0">
            <a:solidFill>
              <a:srgbClr val="210645"/>
            </a:solidFill>
            <a:latin typeface="Segoe UI" panose="020B0502040204020203" pitchFamily="34" charset="0"/>
            <a:ea typeface="Calibri"/>
            <a:cs typeface="Segoe UI" panose="020B0502040204020203" pitchFamily="34" charset="0"/>
          </a:endParaRPr>
        </a:p>
        <a:p>
          <a:pPr algn="ctr"/>
          <a:fld id="{B88B9D91-487E-4629-9952-A919AF421DE6}" type="TxLink">
            <a:rPr lang="en-US" sz="1800" b="1" i="0" u="none" strike="noStrike">
              <a:solidFill>
                <a:srgbClr val="210645"/>
              </a:solidFill>
              <a:latin typeface="Segoe UI" panose="020B0502040204020203" pitchFamily="34" charset="0"/>
              <a:ea typeface="Calibri"/>
              <a:cs typeface="Segoe UI" panose="020B0502040204020203" pitchFamily="34" charset="0"/>
            </a:rPr>
            <a:pPr algn="ctr"/>
            <a:t>4.71%</a:t>
          </a:fld>
          <a:endParaRPr lang="en-IN" sz="1800" b="1">
            <a:solidFill>
              <a:srgbClr val="220A43"/>
            </a:solidFill>
            <a:latin typeface="Segoe UI" panose="020B0502040204020203" pitchFamily="34" charset="0"/>
            <a:cs typeface="Segoe UI" panose="020B0502040204020203" pitchFamily="34" charset="0"/>
          </a:endParaRPr>
        </a:p>
      </xdr:txBody>
    </xdr:sp>
    <xdr:clientData/>
  </xdr:twoCellAnchor>
  <xdr:twoCellAnchor>
    <xdr:from>
      <xdr:col>3</xdr:col>
      <xdr:colOff>413602</xdr:colOff>
      <xdr:row>12</xdr:row>
      <xdr:rowOff>47608</xdr:rowOff>
    </xdr:from>
    <xdr:to>
      <xdr:col>6</xdr:col>
      <xdr:colOff>199778</xdr:colOff>
      <xdr:row>17</xdr:row>
      <xdr:rowOff>62509</xdr:rowOff>
    </xdr:to>
    <xdr:sp macro="" textlink="SOPL!P51">
      <xdr:nvSpPr>
        <xdr:cNvPr id="32" name="Rectangle: Rounded Corners 31">
          <a:extLst>
            <a:ext uri="{FF2B5EF4-FFF2-40B4-BE49-F238E27FC236}">
              <a16:creationId xmlns:a16="http://schemas.microsoft.com/office/drawing/2014/main" id="{95F68675-D3DB-4A20-AC4B-E973E100EBC2}"/>
            </a:ext>
          </a:extLst>
        </xdr:cNvPr>
        <xdr:cNvSpPr/>
      </xdr:nvSpPr>
      <xdr:spPr>
        <a:xfrm>
          <a:off x="1929040" y="2205181"/>
          <a:ext cx="1609839" cy="913890"/>
        </a:xfrm>
        <a:prstGeom prst="roundRect">
          <a:avLst/>
        </a:prstGeom>
        <a:solidFill>
          <a:srgbClr val="F1EDF7"/>
        </a:solidFill>
        <a:ln>
          <a:solidFill>
            <a:srgbClr val="D6CBE3"/>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rgbClr val="210645"/>
              </a:solidFill>
              <a:latin typeface="Segoe UI" panose="020B0502040204020203" pitchFamily="34" charset="0"/>
              <a:ea typeface="Calibri"/>
              <a:cs typeface="Segoe UI" panose="020B0502040204020203" pitchFamily="34" charset="0"/>
            </a:rPr>
            <a:t>TAX RATE</a:t>
          </a:r>
          <a:r>
            <a:rPr lang="en-US" sz="1100" b="1" i="0" u="none" strike="noStrike" baseline="0">
              <a:solidFill>
                <a:srgbClr val="210645"/>
              </a:solidFill>
              <a:latin typeface="Segoe UI" panose="020B0502040204020203" pitchFamily="34" charset="0"/>
              <a:ea typeface="Calibri"/>
              <a:cs typeface="Segoe UI" panose="020B0502040204020203" pitchFamily="34" charset="0"/>
            </a:rPr>
            <a:t> </a:t>
          </a:r>
        </a:p>
        <a:p>
          <a:pPr algn="ctr"/>
          <a:endParaRPr lang="en-US" sz="400" b="1" i="0" u="none" strike="noStrike" baseline="0">
            <a:solidFill>
              <a:srgbClr val="210645"/>
            </a:solidFill>
            <a:latin typeface="Segoe UI" panose="020B0502040204020203" pitchFamily="34" charset="0"/>
            <a:ea typeface="Calibri"/>
            <a:cs typeface="Segoe UI" panose="020B0502040204020203" pitchFamily="34" charset="0"/>
          </a:endParaRPr>
        </a:p>
        <a:p>
          <a:pPr algn="ctr"/>
          <a:fld id="{62A06B64-2BCD-44AB-A02A-183E112225F7}" type="TxLink">
            <a:rPr lang="en-US" sz="1800" b="1" i="0" u="none" strike="noStrike">
              <a:solidFill>
                <a:srgbClr val="210645"/>
              </a:solidFill>
              <a:latin typeface="Segoe UI" panose="020B0502040204020203" pitchFamily="34" charset="0"/>
              <a:ea typeface="Calibri"/>
              <a:cs typeface="Segoe UI" panose="020B0502040204020203" pitchFamily="34" charset="0"/>
            </a:rPr>
            <a:pPr algn="ctr"/>
            <a:t>26.80%</a:t>
          </a:fld>
          <a:endParaRPr lang="en-US" sz="1800" b="1" i="0" u="none" strike="noStrike">
            <a:solidFill>
              <a:srgbClr val="210645"/>
            </a:solidFill>
            <a:latin typeface="Segoe UI" panose="020B0502040204020203" pitchFamily="34" charset="0"/>
            <a:ea typeface="Calibri"/>
            <a:cs typeface="Segoe UI" panose="020B0502040204020203" pitchFamily="34" charset="0"/>
          </a:endParaRPr>
        </a:p>
      </xdr:txBody>
    </xdr:sp>
    <xdr:clientData/>
  </xdr:twoCellAnchor>
  <xdr:twoCellAnchor>
    <xdr:from>
      <xdr:col>18</xdr:col>
      <xdr:colOff>133884</xdr:colOff>
      <xdr:row>3</xdr:row>
      <xdr:rowOff>60022</xdr:rowOff>
    </xdr:from>
    <xdr:to>
      <xdr:col>25</xdr:col>
      <xdr:colOff>97871</xdr:colOff>
      <xdr:row>17</xdr:row>
      <xdr:rowOff>127870</xdr:rowOff>
    </xdr:to>
    <xdr:sp macro="" textlink="">
      <xdr:nvSpPr>
        <xdr:cNvPr id="42" name="Rectangle: Rounded Corners 41">
          <a:extLst>
            <a:ext uri="{FF2B5EF4-FFF2-40B4-BE49-F238E27FC236}">
              <a16:creationId xmlns:a16="http://schemas.microsoft.com/office/drawing/2014/main" id="{0E842472-2E77-4027-8F22-BE2F222768A9}"/>
            </a:ext>
          </a:extLst>
        </xdr:cNvPr>
        <xdr:cNvSpPr/>
      </xdr:nvSpPr>
      <xdr:spPr>
        <a:xfrm>
          <a:off x="10767637" y="599415"/>
          <a:ext cx="4219200" cy="2585017"/>
        </a:xfrm>
        <a:prstGeom prst="roundRect">
          <a:avLst>
            <a:gd name="adj" fmla="val 8847"/>
          </a:avLst>
        </a:prstGeom>
        <a:solidFill>
          <a:srgbClr val="F1EDF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18</xdr:col>
      <xdr:colOff>209723</xdr:colOff>
      <xdr:row>3</xdr:row>
      <xdr:rowOff>171874</xdr:rowOff>
    </xdr:from>
    <xdr:to>
      <xdr:col>25</xdr:col>
      <xdr:colOff>20972</xdr:colOff>
      <xdr:row>17</xdr:row>
      <xdr:rowOff>43470</xdr:rowOff>
    </xdr:to>
    <xdr:graphicFrame macro="">
      <xdr:nvGraphicFramePr>
        <xdr:cNvPr id="40" name="Chart 39">
          <a:extLst>
            <a:ext uri="{FF2B5EF4-FFF2-40B4-BE49-F238E27FC236}">
              <a16:creationId xmlns:a16="http://schemas.microsoft.com/office/drawing/2014/main" id="{905AE51F-8CCD-497D-A239-D84FCE125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12806</xdr:colOff>
      <xdr:row>9</xdr:row>
      <xdr:rowOff>174485</xdr:rowOff>
    </xdr:from>
    <xdr:to>
      <xdr:col>3</xdr:col>
      <xdr:colOff>134939</xdr:colOff>
      <xdr:row>12</xdr:row>
      <xdr:rowOff>127449</xdr:rowOff>
    </xdr:to>
    <xdr:sp macro="" textlink="">
      <xdr:nvSpPr>
        <xdr:cNvPr id="43" name="TextBox 42">
          <a:extLst>
            <a:ext uri="{FF2B5EF4-FFF2-40B4-BE49-F238E27FC236}">
              <a16:creationId xmlns:a16="http://schemas.microsoft.com/office/drawing/2014/main" id="{099AFE24-6E76-4778-B088-DE35BF02947D}"/>
            </a:ext>
          </a:extLst>
        </xdr:cNvPr>
        <xdr:cNvSpPr txBox="1"/>
      </xdr:nvSpPr>
      <xdr:spPr>
        <a:xfrm>
          <a:off x="12806" y="1814442"/>
          <a:ext cx="1621285" cy="499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800" b="1">
              <a:ln>
                <a:noFill/>
              </a:ln>
              <a:solidFill>
                <a:srgbClr val="F1EDF7"/>
              </a:solidFill>
              <a:effectLst>
                <a:outerShdw blurRad="63500" sx="102000" sy="102000" algn="ctr" rotWithShape="0">
                  <a:prstClr val="black">
                    <a:alpha val="40000"/>
                  </a:prstClr>
                </a:outerShdw>
              </a:effectLst>
              <a:latin typeface="Segoe UI" panose="020B0502040204020203" pitchFamily="34" charset="0"/>
              <a:cs typeface="Segoe UI" panose="020B0502040204020203" pitchFamily="34" charset="0"/>
            </a:rPr>
            <a:t>52-week:</a:t>
          </a:r>
          <a:r>
            <a:rPr lang="en-IN" sz="1800" b="1">
              <a:ln>
                <a:noFill/>
              </a:ln>
              <a:solidFill>
                <a:srgbClr val="F1EDF7"/>
              </a:solidFill>
              <a:effectLst>
                <a:outerShdw blurRad="63500" sx="102000" sy="102000" algn="ctr" rotWithShape="0">
                  <a:prstClr val="black">
                    <a:alpha val="40000"/>
                  </a:prstClr>
                </a:outerShdw>
              </a:effectLst>
              <a:latin typeface="Segoe UI" panose="020B0502040204020203" pitchFamily="34" charset="0"/>
              <a:cs typeface="Segoe UI" panose="020B0502040204020203" pitchFamily="34" charset="0"/>
            </a:rPr>
            <a:t> </a:t>
          </a:r>
        </a:p>
        <a:p>
          <a:pPr algn="l"/>
          <a:r>
            <a:rPr lang="en-IN" sz="600" b="1" i="1">
              <a:ln>
                <a:noFill/>
              </a:ln>
              <a:solidFill>
                <a:srgbClr val="F1EDF7"/>
              </a:solidFill>
              <a:effectLst>
                <a:outerShdw blurRad="63500" sx="102000" sy="102000" algn="ctr" rotWithShape="0">
                  <a:prstClr val="black">
                    <a:alpha val="40000"/>
                  </a:prstClr>
                </a:outerShdw>
              </a:effectLst>
              <a:latin typeface="Segoe UI" panose="020B0502040204020203" pitchFamily="34" charset="0"/>
              <a:cs typeface="Segoe UI" panose="020B0502040204020203" pitchFamily="34" charset="0"/>
            </a:rPr>
            <a:t>(High: ₹ 2985.70 | Low:</a:t>
          </a:r>
          <a:r>
            <a:rPr lang="en-IN" sz="600" b="1" i="1" baseline="0">
              <a:ln>
                <a:noFill/>
              </a:ln>
              <a:solidFill>
                <a:srgbClr val="F1EDF7"/>
              </a:solidFill>
              <a:effectLst>
                <a:outerShdw blurRad="63500" sx="102000" sy="102000" algn="ctr" rotWithShape="0">
                  <a:prstClr val="black">
                    <a:alpha val="40000"/>
                  </a:prstClr>
                </a:outerShdw>
              </a:effectLst>
              <a:latin typeface="Segoe UI" panose="020B0502040204020203" pitchFamily="34" charset="0"/>
              <a:cs typeface="Segoe UI" panose="020B0502040204020203" pitchFamily="34" charset="0"/>
            </a:rPr>
            <a:t> ₹ 2115.00)</a:t>
          </a:r>
          <a:endParaRPr lang="en-IN" sz="600" b="1" i="1">
            <a:ln>
              <a:noFill/>
            </a:ln>
            <a:solidFill>
              <a:srgbClr val="F1EDF7"/>
            </a:solidFill>
            <a:effectLst>
              <a:outerShdw blurRad="63500" sx="102000" sy="102000" algn="ctr" rotWithShape="0">
                <a:prstClr val="black">
                  <a:alpha val="40000"/>
                </a:prstClr>
              </a:outerShdw>
            </a:effectLst>
            <a:latin typeface="Segoe UI" panose="020B0502040204020203" pitchFamily="34" charset="0"/>
            <a:cs typeface="Segoe UI" panose="020B0502040204020203" pitchFamily="34" charset="0"/>
          </a:endParaRPr>
        </a:p>
      </xdr:txBody>
    </xdr:sp>
    <xdr:clientData/>
  </xdr:twoCellAnchor>
  <xdr:twoCellAnchor>
    <xdr:from>
      <xdr:col>0</xdr:col>
      <xdr:colOff>17162</xdr:colOff>
      <xdr:row>13</xdr:row>
      <xdr:rowOff>168079</xdr:rowOff>
    </xdr:from>
    <xdr:to>
      <xdr:col>3</xdr:col>
      <xdr:colOff>76489</xdr:colOff>
      <xdr:row>17</xdr:row>
      <xdr:rowOff>159704</xdr:rowOff>
    </xdr:to>
    <xdr:sp macro="" textlink="">
      <xdr:nvSpPr>
        <xdr:cNvPr id="47" name="TextBox 46">
          <a:extLst>
            <a:ext uri="{FF2B5EF4-FFF2-40B4-BE49-F238E27FC236}">
              <a16:creationId xmlns:a16="http://schemas.microsoft.com/office/drawing/2014/main" id="{6CEDD450-B17C-B6BB-5868-DD40AA8B60C3}"/>
            </a:ext>
          </a:extLst>
        </xdr:cNvPr>
        <xdr:cNvSpPr txBox="1"/>
      </xdr:nvSpPr>
      <xdr:spPr>
        <a:xfrm>
          <a:off x="17162" y="2536905"/>
          <a:ext cx="1575044" cy="720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i="0">
              <a:solidFill>
                <a:srgbClr val="F1EDF7"/>
              </a:solidFill>
              <a:latin typeface="Segoe UI" panose="020B0502040204020203" pitchFamily="34" charset="0"/>
              <a:cs typeface="Segoe UI" panose="020B0502040204020203" pitchFamily="34" charset="0"/>
            </a:rPr>
            <a:t>P/E Ratio- </a:t>
          </a:r>
          <a:r>
            <a:rPr lang="en-IN" sz="1100" b="1" i="1">
              <a:solidFill>
                <a:srgbClr val="F1EDF7"/>
              </a:solidFill>
              <a:latin typeface="Segoe UI" panose="020B0502040204020203" pitchFamily="34" charset="0"/>
              <a:cs typeface="Segoe UI" panose="020B0502040204020203" pitchFamily="34" charset="0"/>
            </a:rPr>
            <a:t>47.99x</a:t>
          </a:r>
          <a:endParaRPr lang="en-IN" sz="1050" b="1" i="1">
            <a:solidFill>
              <a:srgbClr val="F1EDF7"/>
            </a:solidFill>
            <a:latin typeface="Segoe UI" panose="020B0502040204020203" pitchFamily="34" charset="0"/>
            <a:cs typeface="Segoe UI" panose="020B0502040204020203" pitchFamily="34" charset="0"/>
          </a:endParaRPr>
        </a:p>
        <a:p>
          <a:endParaRPr lang="en-IN" sz="600" b="1" i="1">
            <a:solidFill>
              <a:srgbClr val="F1EDF7"/>
            </a:solidFill>
            <a:latin typeface="Segoe UI" panose="020B0502040204020203" pitchFamily="34" charset="0"/>
            <a:cs typeface="Segoe UI" panose="020B0502040204020203" pitchFamily="34" charset="0"/>
          </a:endParaRPr>
        </a:p>
        <a:p>
          <a:r>
            <a:rPr lang="en-IN" sz="800" b="1" i="0">
              <a:solidFill>
                <a:srgbClr val="F1EDF7"/>
              </a:solidFill>
              <a:latin typeface="Segoe UI" panose="020B0502040204020203" pitchFamily="34" charset="0"/>
              <a:cs typeface="Segoe UI" panose="020B0502040204020203" pitchFamily="34" charset="0"/>
            </a:rPr>
            <a:t>Mkt.</a:t>
          </a:r>
          <a:r>
            <a:rPr lang="en-IN" sz="800" b="1" i="0" baseline="0">
              <a:solidFill>
                <a:srgbClr val="F1EDF7"/>
              </a:solidFill>
              <a:latin typeface="Segoe UI" panose="020B0502040204020203" pitchFamily="34" charset="0"/>
              <a:cs typeface="Segoe UI" panose="020B0502040204020203" pitchFamily="34" charset="0"/>
            </a:rPr>
            <a:t> Cap.- </a:t>
          </a:r>
          <a:r>
            <a:rPr lang="en-IN" sz="1100" b="1" i="1" baseline="0">
              <a:solidFill>
                <a:srgbClr val="F1EDF7"/>
              </a:solidFill>
              <a:latin typeface="Segoe UI" panose="020B0502040204020203" pitchFamily="34" charset="0"/>
              <a:cs typeface="Segoe UI" panose="020B0502040204020203" pitchFamily="34" charset="0"/>
            </a:rPr>
            <a:t>₹ 2.53L Cr.</a:t>
          </a:r>
          <a:endParaRPr lang="en-IN" sz="1100" b="1" i="1">
            <a:solidFill>
              <a:srgbClr val="F1EDF7"/>
            </a:solidFill>
            <a:latin typeface="Segoe UI" panose="020B0502040204020203" pitchFamily="34" charset="0"/>
            <a:cs typeface="Segoe UI" panose="020B0502040204020203" pitchFamily="34" charset="0"/>
          </a:endParaRPr>
        </a:p>
        <a:p>
          <a:endParaRPr lang="en-IN" sz="1050" b="1" i="1">
            <a:solidFill>
              <a:srgbClr val="F1EDF7"/>
            </a:solidFill>
            <a:latin typeface="Segoe UI" panose="020B0502040204020203" pitchFamily="34" charset="0"/>
            <a:cs typeface="Segoe UI" panose="020B0502040204020203" pitchFamily="34" charset="0"/>
          </a:endParaRPr>
        </a:p>
      </xdr:txBody>
    </xdr:sp>
    <xdr:clientData/>
  </xdr:twoCellAnchor>
  <xdr:twoCellAnchor>
    <xdr:from>
      <xdr:col>18</xdr:col>
      <xdr:colOff>116705</xdr:colOff>
      <xdr:row>18</xdr:row>
      <xdr:rowOff>124317</xdr:rowOff>
    </xdr:from>
    <xdr:to>
      <xdr:col>25</xdr:col>
      <xdr:colOff>136597</xdr:colOff>
      <xdr:row>33</xdr:row>
      <xdr:rowOff>7570</xdr:rowOff>
    </xdr:to>
    <xdr:grpSp>
      <xdr:nvGrpSpPr>
        <xdr:cNvPr id="54" name="Group 53">
          <a:extLst>
            <a:ext uri="{FF2B5EF4-FFF2-40B4-BE49-F238E27FC236}">
              <a16:creationId xmlns:a16="http://schemas.microsoft.com/office/drawing/2014/main" id="{5845AADE-B7E1-ED16-6019-4982F44ED335}"/>
            </a:ext>
          </a:extLst>
        </xdr:cNvPr>
        <xdr:cNvGrpSpPr/>
      </xdr:nvGrpSpPr>
      <xdr:grpSpPr>
        <a:xfrm>
          <a:off x="10827038" y="3362817"/>
          <a:ext cx="4316726" cy="2582003"/>
          <a:chOff x="10809826" y="3006132"/>
          <a:chExt cx="4298815" cy="2642127"/>
        </a:xfrm>
      </xdr:grpSpPr>
      <xdr:sp macro="" textlink="">
        <xdr:nvSpPr>
          <xdr:cNvPr id="35" name="Rectangle: Rounded Corners 34">
            <a:extLst>
              <a:ext uri="{FF2B5EF4-FFF2-40B4-BE49-F238E27FC236}">
                <a16:creationId xmlns:a16="http://schemas.microsoft.com/office/drawing/2014/main" id="{FAA9F6B0-C45E-46B8-D2D1-A8333DCA5C45}"/>
              </a:ext>
            </a:extLst>
          </xdr:cNvPr>
          <xdr:cNvSpPr/>
        </xdr:nvSpPr>
        <xdr:spPr>
          <a:xfrm>
            <a:off x="10809826" y="3006132"/>
            <a:ext cx="4298815" cy="2642127"/>
          </a:xfrm>
          <a:prstGeom prst="roundRect">
            <a:avLst>
              <a:gd name="adj" fmla="val 8847"/>
            </a:avLst>
          </a:prstGeom>
          <a:solidFill>
            <a:srgbClr val="F1EDF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graphicFrame macro="">
        <xdr:nvGraphicFramePr>
          <xdr:cNvPr id="48" name="Chart 47">
            <a:extLst>
              <a:ext uri="{FF2B5EF4-FFF2-40B4-BE49-F238E27FC236}">
                <a16:creationId xmlns:a16="http://schemas.microsoft.com/office/drawing/2014/main" id="{51D76E26-852F-4226-8E9A-D0D0D3227C66}"/>
              </a:ext>
            </a:extLst>
          </xdr:cNvPr>
          <xdr:cNvGraphicFramePr>
            <a:graphicFrameLocks/>
          </xdr:cNvGraphicFramePr>
        </xdr:nvGraphicFramePr>
        <xdr:xfrm>
          <a:off x="10910835" y="3125831"/>
          <a:ext cx="4103077" cy="2419979"/>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10</xdr:col>
      <xdr:colOff>573151</xdr:colOff>
      <xdr:row>18</xdr:row>
      <xdr:rowOff>118553</xdr:rowOff>
    </xdr:from>
    <xdr:to>
      <xdr:col>17</xdr:col>
      <xdr:colOff>594454</xdr:colOff>
      <xdr:row>33</xdr:row>
      <xdr:rowOff>7569</xdr:rowOff>
    </xdr:to>
    <xdr:grpSp>
      <xdr:nvGrpSpPr>
        <xdr:cNvPr id="53" name="Group 52">
          <a:extLst>
            <a:ext uri="{FF2B5EF4-FFF2-40B4-BE49-F238E27FC236}">
              <a16:creationId xmlns:a16="http://schemas.microsoft.com/office/drawing/2014/main" id="{CDDF3DF8-8255-55FB-A8C8-EF90FA0C56BA}"/>
            </a:ext>
          </a:extLst>
        </xdr:cNvPr>
        <xdr:cNvGrpSpPr/>
      </xdr:nvGrpSpPr>
      <xdr:grpSpPr>
        <a:xfrm>
          <a:off x="6372818" y="3357053"/>
          <a:ext cx="4318136" cy="2587766"/>
          <a:chOff x="6380703" y="3006132"/>
          <a:chExt cx="4300226" cy="2647890"/>
        </a:xfrm>
      </xdr:grpSpPr>
      <xdr:sp macro="" textlink="">
        <xdr:nvSpPr>
          <xdr:cNvPr id="51" name="Rectangle: Rounded Corners 50">
            <a:extLst>
              <a:ext uri="{FF2B5EF4-FFF2-40B4-BE49-F238E27FC236}">
                <a16:creationId xmlns:a16="http://schemas.microsoft.com/office/drawing/2014/main" id="{B413DE48-DE73-43DF-827B-613DD8FF6454}"/>
              </a:ext>
            </a:extLst>
          </xdr:cNvPr>
          <xdr:cNvSpPr/>
        </xdr:nvSpPr>
        <xdr:spPr>
          <a:xfrm>
            <a:off x="6380703" y="3006132"/>
            <a:ext cx="4300226" cy="2647890"/>
          </a:xfrm>
          <a:prstGeom prst="roundRect">
            <a:avLst>
              <a:gd name="adj" fmla="val 8847"/>
            </a:avLst>
          </a:prstGeom>
          <a:solidFill>
            <a:srgbClr val="F1EDF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graphicFrame macro="">
        <xdr:nvGraphicFramePr>
          <xdr:cNvPr id="49" name="Chart 48">
            <a:extLst>
              <a:ext uri="{FF2B5EF4-FFF2-40B4-BE49-F238E27FC236}">
                <a16:creationId xmlns:a16="http://schemas.microsoft.com/office/drawing/2014/main" id="{81C3CFE7-6AC5-4A3A-88AE-956784DFFD02}"/>
              </a:ext>
            </a:extLst>
          </xdr:cNvPr>
          <xdr:cNvGraphicFramePr>
            <a:graphicFrameLocks/>
          </xdr:cNvGraphicFramePr>
        </xdr:nvGraphicFramePr>
        <xdr:xfrm>
          <a:off x="6489559" y="3079784"/>
          <a:ext cx="4061210" cy="2478597"/>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3</xdr:col>
      <xdr:colOff>416279</xdr:colOff>
      <xdr:row>18</xdr:row>
      <xdr:rowOff>118553</xdr:rowOff>
    </xdr:from>
    <xdr:to>
      <xdr:col>10</xdr:col>
      <xdr:colOff>437582</xdr:colOff>
      <xdr:row>33</xdr:row>
      <xdr:rowOff>7569</xdr:rowOff>
    </xdr:to>
    <xdr:grpSp>
      <xdr:nvGrpSpPr>
        <xdr:cNvPr id="59" name="Group 58">
          <a:extLst>
            <a:ext uri="{FF2B5EF4-FFF2-40B4-BE49-F238E27FC236}">
              <a16:creationId xmlns:a16="http://schemas.microsoft.com/office/drawing/2014/main" id="{D70AA755-FDD9-EB5A-3E17-F597A10DABDB}"/>
            </a:ext>
          </a:extLst>
        </xdr:cNvPr>
        <xdr:cNvGrpSpPr/>
      </xdr:nvGrpSpPr>
      <xdr:grpSpPr>
        <a:xfrm>
          <a:off x="1919112" y="3357053"/>
          <a:ext cx="4318137" cy="2587766"/>
          <a:chOff x="1940279" y="2955241"/>
          <a:chExt cx="4273583" cy="2605261"/>
        </a:xfrm>
      </xdr:grpSpPr>
      <xdr:sp macro="" textlink="">
        <xdr:nvSpPr>
          <xdr:cNvPr id="56" name="Rectangle: Rounded Corners 55">
            <a:extLst>
              <a:ext uri="{FF2B5EF4-FFF2-40B4-BE49-F238E27FC236}">
                <a16:creationId xmlns:a16="http://schemas.microsoft.com/office/drawing/2014/main" id="{D0F47A63-4B77-1C7D-5EFB-97EBEF0E3CAB}"/>
              </a:ext>
            </a:extLst>
          </xdr:cNvPr>
          <xdr:cNvSpPr/>
        </xdr:nvSpPr>
        <xdr:spPr>
          <a:xfrm>
            <a:off x="1940279" y="2955241"/>
            <a:ext cx="4273583" cy="2605261"/>
          </a:xfrm>
          <a:prstGeom prst="roundRect">
            <a:avLst>
              <a:gd name="adj" fmla="val 8847"/>
            </a:avLst>
          </a:prstGeom>
          <a:solidFill>
            <a:srgbClr val="F1EDF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graphicFrame macro="">
        <xdr:nvGraphicFramePr>
          <xdr:cNvPr id="58" name="Chart 57">
            <a:extLst>
              <a:ext uri="{FF2B5EF4-FFF2-40B4-BE49-F238E27FC236}">
                <a16:creationId xmlns:a16="http://schemas.microsoft.com/office/drawing/2014/main" id="{B5D461A4-7D7A-42E6-992D-7E270C108876}"/>
              </a:ext>
            </a:extLst>
          </xdr:cNvPr>
          <xdr:cNvGraphicFramePr>
            <a:graphicFrameLocks/>
          </xdr:cNvGraphicFramePr>
        </xdr:nvGraphicFramePr>
        <xdr:xfrm>
          <a:off x="1993701" y="3026930"/>
          <a:ext cx="4081762" cy="2445098"/>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0</xdr:col>
      <xdr:colOff>60853</xdr:colOff>
      <xdr:row>18</xdr:row>
      <xdr:rowOff>124836</xdr:rowOff>
    </xdr:from>
    <xdr:to>
      <xdr:col>3</xdr:col>
      <xdr:colOff>190499</xdr:colOff>
      <xdr:row>23</xdr:row>
      <xdr:rowOff>33134</xdr:rowOff>
    </xdr:to>
    <xdr:sp macro="" textlink="">
      <xdr:nvSpPr>
        <xdr:cNvPr id="10241" name="Text Box 1">
          <a:extLst>
            <a:ext uri="{FF2B5EF4-FFF2-40B4-BE49-F238E27FC236}">
              <a16:creationId xmlns:a16="http://schemas.microsoft.com/office/drawing/2014/main" id="{146CA941-D00E-F378-92B2-DD04AA44C2F7}"/>
            </a:ext>
          </a:extLst>
        </xdr:cNvPr>
        <xdr:cNvSpPr txBox="1">
          <a:spLocks noChangeArrowheads="1"/>
        </xdr:cNvSpPr>
      </xdr:nvSpPr>
      <xdr:spPr bwMode="auto">
        <a:xfrm>
          <a:off x="60853" y="3404749"/>
          <a:ext cx="1628798" cy="819385"/>
        </a:xfrm>
        <a:prstGeom prst="rect">
          <a:avLst/>
        </a:prstGeom>
        <a:noFill/>
        <a:ln w="9525">
          <a:noFill/>
          <a:miter lim="800000"/>
          <a:headEnd/>
          <a:tailEnd/>
        </a:ln>
      </xdr:spPr>
      <xdr:txBody>
        <a:bodyPr vertOverflow="clip" wrap="square" lIns="45720" tIns="45720" rIns="0" bIns="0" anchor="t" upright="1"/>
        <a:lstStyle/>
        <a:p>
          <a:pPr marL="0" marR="0" lvl="0" indent="0" algn="l" defTabSz="914400" rtl="0" eaLnBrk="1" fontAlgn="auto" latinLnBrk="0" hangingPunct="1">
            <a:lnSpc>
              <a:spcPts val="1200"/>
            </a:lnSpc>
            <a:spcBef>
              <a:spcPts val="0"/>
            </a:spcBef>
            <a:spcAft>
              <a:spcPts val="0"/>
            </a:spcAft>
            <a:buClrTx/>
            <a:buSzTx/>
            <a:buFontTx/>
            <a:buNone/>
            <a:tabLst/>
            <a:defRPr sz="1000"/>
          </a:pPr>
          <a:r>
            <a:rPr lang="en-IN" sz="1100" b="1" i="0" u="none" strike="noStrike" baseline="0">
              <a:solidFill>
                <a:srgbClr val="F1EDF7"/>
              </a:solidFill>
              <a:latin typeface="Segoe UI" panose="020B0502040204020203" pitchFamily="34" charset="0"/>
              <a:ea typeface="Calibri"/>
              <a:cs typeface="Segoe UI" panose="020B0502040204020203" pitchFamily="34" charset="0"/>
            </a:rPr>
            <a:t>Valuation Status:</a:t>
          </a:r>
          <a:endParaRPr lang="en-IN" sz="400" b="1" i="0" u="none" strike="noStrike" baseline="0">
            <a:solidFill>
              <a:srgbClr val="F1EDF7"/>
            </a:solidFill>
            <a:latin typeface="Segoe UI" panose="020B0502040204020203" pitchFamily="34" charset="0"/>
            <a:ea typeface="Calibri"/>
            <a:cs typeface="Segoe UI" panose="020B0502040204020203" pitchFamily="34" charset="0"/>
          </a:endParaRPr>
        </a:p>
        <a:p>
          <a:pPr marL="0" marR="0" lvl="0" indent="0" algn="l" defTabSz="914400" rtl="0" eaLnBrk="1" fontAlgn="auto" latinLnBrk="0" hangingPunct="1">
            <a:lnSpc>
              <a:spcPts val="1200"/>
            </a:lnSpc>
            <a:spcBef>
              <a:spcPts val="0"/>
            </a:spcBef>
            <a:spcAft>
              <a:spcPts val="0"/>
            </a:spcAft>
            <a:buClrTx/>
            <a:buSzTx/>
            <a:buFontTx/>
            <a:buNone/>
            <a:tabLst/>
            <a:defRPr sz="1000"/>
          </a:pPr>
          <a:r>
            <a:rPr lang="en-IN" sz="800" b="1" i="1" u="none" strike="noStrike" baseline="0">
              <a:solidFill>
                <a:srgbClr val="F1EDF7"/>
              </a:solidFill>
              <a:latin typeface="Segoe UI" panose="020B0502040204020203" pitchFamily="34" charset="0"/>
              <a:ea typeface="Calibri"/>
              <a:cs typeface="Segoe UI" panose="020B0502040204020203" pitchFamily="34" charset="0"/>
            </a:rPr>
            <a:t>Upside/(Downside)        </a:t>
          </a:r>
          <a:r>
            <a:rPr lang="en-IN" sz="800" b="1" i="1" u="none" strike="noStrike" baseline="0">
              <a:solidFill>
                <a:srgbClr val="FF0000"/>
              </a:solidFill>
              <a:latin typeface="Segoe UI" panose="020B0502040204020203" pitchFamily="34" charset="0"/>
              <a:ea typeface="Calibri"/>
              <a:cs typeface="Segoe UI" panose="020B0502040204020203" pitchFamily="34" charset="0"/>
            </a:rPr>
            <a:t>-84.21%</a:t>
          </a:r>
          <a:r>
            <a:rPr lang="en-IN" sz="900" b="1" i="0" u="none" strike="noStrike" baseline="0">
              <a:solidFill>
                <a:srgbClr val="F1EDF7"/>
              </a:solidFill>
              <a:latin typeface="Segoe UI" panose="020B0502040204020203" pitchFamily="34" charset="0"/>
              <a:ea typeface="Calibri"/>
              <a:cs typeface="Segoe UI" panose="020B0502040204020203" pitchFamily="34" charset="0"/>
            </a:rPr>
            <a:t>	</a:t>
          </a:r>
          <a:endParaRPr lang="en-IN" sz="1100" b="1" i="0" u="none" strike="noStrike" baseline="0">
            <a:solidFill>
              <a:srgbClr val="FF0000"/>
            </a:solidFill>
            <a:latin typeface="Bahnschrift SemiBold" panose="020B0502040204020203" pitchFamily="34" charset="0"/>
            <a:ea typeface="Calibri"/>
            <a:cs typeface="Calibri"/>
          </a:endParaRPr>
        </a:p>
        <a:p>
          <a:pPr marL="0" marR="0" lvl="0" indent="0" algn="l" defTabSz="914400" rtl="0" eaLnBrk="1" fontAlgn="auto" latinLnBrk="0" hangingPunct="1">
            <a:lnSpc>
              <a:spcPts val="1200"/>
            </a:lnSpc>
            <a:spcBef>
              <a:spcPts val="0"/>
            </a:spcBef>
            <a:spcAft>
              <a:spcPts val="0"/>
            </a:spcAft>
            <a:buClrTx/>
            <a:buSzTx/>
            <a:buFontTx/>
            <a:buNone/>
            <a:tabLst/>
            <a:defRPr sz="1000"/>
          </a:pPr>
          <a:r>
            <a:rPr lang="en-IN" sz="1100" b="1" i="0" u="none" strike="noStrike" baseline="0">
              <a:solidFill>
                <a:srgbClr val="FF0000"/>
              </a:solidFill>
              <a:latin typeface="Segoe UI" panose="020B0502040204020203" pitchFamily="34" charset="0"/>
              <a:ea typeface="Calibri"/>
              <a:cs typeface="Segoe UI" panose="020B0502040204020203" pitchFamily="34" charset="0"/>
            </a:rPr>
            <a:t>OVERVALUED</a:t>
          </a:r>
          <a:endParaRPr lang="en-IN" sz="1200" b="1">
            <a:solidFill>
              <a:srgbClr val="FF0000"/>
            </a:solidFill>
            <a:latin typeface="Segoe UI" panose="020B0502040204020203" pitchFamily="34" charset="0"/>
            <a:cs typeface="Segoe UI" panose="020B0502040204020203" pitchFamily="34" charset="0"/>
          </a:endParaRPr>
        </a:p>
      </xdr:txBody>
    </xdr:sp>
    <xdr:clientData/>
  </xdr:twoCellAnchor>
  <xdr:twoCellAnchor>
    <xdr:from>
      <xdr:col>4</xdr:col>
      <xdr:colOff>542442</xdr:colOff>
      <xdr:row>0</xdr:row>
      <xdr:rowOff>101614</xdr:rowOff>
    </xdr:from>
    <xdr:to>
      <xdr:col>6</xdr:col>
      <xdr:colOff>272114</xdr:colOff>
      <xdr:row>1</xdr:row>
      <xdr:rowOff>153425</xdr:rowOff>
    </xdr:to>
    <xdr:sp macro="" textlink="">
      <xdr:nvSpPr>
        <xdr:cNvPr id="61" name="Rectangle: Rounded Corners 60">
          <a:hlinkClick xmlns:r="http://schemas.openxmlformats.org/officeDocument/2006/relationships" r:id="rId7"/>
          <a:extLst>
            <a:ext uri="{FF2B5EF4-FFF2-40B4-BE49-F238E27FC236}">
              <a16:creationId xmlns:a16="http://schemas.microsoft.com/office/drawing/2014/main" id="{56064D3E-E785-7AFD-668F-333E1A3BB82F}"/>
            </a:ext>
          </a:extLst>
        </xdr:cNvPr>
        <xdr:cNvSpPr/>
      </xdr:nvSpPr>
      <xdr:spPr>
        <a:xfrm>
          <a:off x="2668021" y="101614"/>
          <a:ext cx="946198" cy="232285"/>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Valuation-FCFF</a:t>
          </a:r>
        </a:p>
      </xdr:txBody>
    </xdr:sp>
    <xdr:clientData/>
  </xdr:twoCellAnchor>
  <xdr:twoCellAnchor>
    <xdr:from>
      <xdr:col>6</xdr:col>
      <xdr:colOff>299353</xdr:colOff>
      <xdr:row>0</xdr:row>
      <xdr:rowOff>101614</xdr:rowOff>
    </xdr:from>
    <xdr:to>
      <xdr:col>8</xdr:col>
      <xdr:colOff>130474</xdr:colOff>
      <xdr:row>1</xdr:row>
      <xdr:rowOff>153425</xdr:rowOff>
    </xdr:to>
    <xdr:sp macro="" textlink="">
      <xdr:nvSpPr>
        <xdr:cNvPr id="10252" name="Rectangle: Rounded Corners 10251">
          <a:hlinkClick xmlns:r="http://schemas.openxmlformats.org/officeDocument/2006/relationships" r:id="rId8"/>
          <a:extLst>
            <a:ext uri="{FF2B5EF4-FFF2-40B4-BE49-F238E27FC236}">
              <a16:creationId xmlns:a16="http://schemas.microsoft.com/office/drawing/2014/main" id="{BB54539D-6CE5-A581-2630-6C84118B6CC8}"/>
            </a:ext>
          </a:extLst>
        </xdr:cNvPr>
        <xdr:cNvSpPr/>
      </xdr:nvSpPr>
      <xdr:spPr>
        <a:xfrm>
          <a:off x="3641458" y="101614"/>
          <a:ext cx="1047648" cy="232285"/>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Sensitivity Analysis</a:t>
          </a:r>
        </a:p>
      </xdr:txBody>
    </xdr:sp>
    <xdr:clientData/>
  </xdr:twoCellAnchor>
  <xdr:twoCellAnchor>
    <xdr:from>
      <xdr:col>8</xdr:col>
      <xdr:colOff>157713</xdr:colOff>
      <xdr:row>0</xdr:row>
      <xdr:rowOff>101614</xdr:rowOff>
    </xdr:from>
    <xdr:to>
      <xdr:col>8</xdr:col>
      <xdr:colOff>605940</xdr:colOff>
      <xdr:row>1</xdr:row>
      <xdr:rowOff>154334</xdr:rowOff>
    </xdr:to>
    <xdr:sp macro="" textlink="">
      <xdr:nvSpPr>
        <xdr:cNvPr id="10253" name="Rectangle: Rounded Corners 10252">
          <a:hlinkClick xmlns:r="http://schemas.openxmlformats.org/officeDocument/2006/relationships" r:id="rId9"/>
          <a:extLst>
            <a:ext uri="{FF2B5EF4-FFF2-40B4-BE49-F238E27FC236}">
              <a16:creationId xmlns:a16="http://schemas.microsoft.com/office/drawing/2014/main" id="{46E420E7-7CBF-4F4E-8D85-405B602D65B8}"/>
            </a:ext>
          </a:extLst>
        </xdr:cNvPr>
        <xdr:cNvSpPr/>
      </xdr:nvSpPr>
      <xdr:spPr>
        <a:xfrm>
          <a:off x="4716345" y="101614"/>
          <a:ext cx="448227" cy="23319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SOFP</a:t>
          </a:r>
        </a:p>
      </xdr:txBody>
    </xdr:sp>
    <xdr:clientData/>
  </xdr:twoCellAnchor>
  <xdr:twoCellAnchor>
    <xdr:from>
      <xdr:col>9</xdr:col>
      <xdr:colOff>24916</xdr:colOff>
      <xdr:row>0</xdr:row>
      <xdr:rowOff>101614</xdr:rowOff>
    </xdr:from>
    <xdr:to>
      <xdr:col>9</xdr:col>
      <xdr:colOff>461769</xdr:colOff>
      <xdr:row>1</xdr:row>
      <xdr:rowOff>154334</xdr:rowOff>
    </xdr:to>
    <xdr:sp macro="" textlink="">
      <xdr:nvSpPr>
        <xdr:cNvPr id="10254" name="Rectangle: Rounded Corners 10253">
          <a:hlinkClick xmlns:r="http://schemas.openxmlformats.org/officeDocument/2006/relationships" r:id="rId10"/>
          <a:extLst>
            <a:ext uri="{FF2B5EF4-FFF2-40B4-BE49-F238E27FC236}">
              <a16:creationId xmlns:a16="http://schemas.microsoft.com/office/drawing/2014/main" id="{785D65DA-2864-9907-9B4B-17929485C2A3}"/>
            </a:ext>
          </a:extLst>
        </xdr:cNvPr>
        <xdr:cNvSpPr/>
      </xdr:nvSpPr>
      <xdr:spPr>
        <a:xfrm>
          <a:off x="5191811" y="101614"/>
          <a:ext cx="436853" cy="23319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SOPL</a:t>
          </a:r>
        </a:p>
      </xdr:txBody>
    </xdr:sp>
    <xdr:clientData/>
  </xdr:twoCellAnchor>
  <xdr:twoCellAnchor>
    <xdr:from>
      <xdr:col>9</xdr:col>
      <xdr:colOff>489008</xdr:colOff>
      <xdr:row>0</xdr:row>
      <xdr:rowOff>101614</xdr:rowOff>
    </xdr:from>
    <xdr:to>
      <xdr:col>10</xdr:col>
      <xdr:colOff>326497</xdr:colOff>
      <xdr:row>1</xdr:row>
      <xdr:rowOff>154334</xdr:rowOff>
    </xdr:to>
    <xdr:sp macro="" textlink="">
      <xdr:nvSpPr>
        <xdr:cNvPr id="10255" name="Rectangle: Rounded Corners 10254">
          <a:hlinkClick xmlns:r="http://schemas.openxmlformats.org/officeDocument/2006/relationships" r:id="rId11"/>
          <a:extLst>
            <a:ext uri="{FF2B5EF4-FFF2-40B4-BE49-F238E27FC236}">
              <a16:creationId xmlns:a16="http://schemas.microsoft.com/office/drawing/2014/main" id="{1821E8B9-4AF9-D74A-88BB-E577A8544979}"/>
            </a:ext>
          </a:extLst>
        </xdr:cNvPr>
        <xdr:cNvSpPr/>
      </xdr:nvSpPr>
      <xdr:spPr>
        <a:xfrm>
          <a:off x="5655903" y="101614"/>
          <a:ext cx="445752" cy="23319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SOCF</a:t>
          </a:r>
        </a:p>
      </xdr:txBody>
    </xdr:sp>
    <xdr:clientData/>
  </xdr:twoCellAnchor>
  <xdr:twoCellAnchor>
    <xdr:from>
      <xdr:col>10</xdr:col>
      <xdr:colOff>353736</xdr:colOff>
      <xdr:row>0</xdr:row>
      <xdr:rowOff>101614</xdr:rowOff>
    </xdr:from>
    <xdr:to>
      <xdr:col>11</xdr:col>
      <xdr:colOff>362960</xdr:colOff>
      <xdr:row>1</xdr:row>
      <xdr:rowOff>154334</xdr:rowOff>
    </xdr:to>
    <xdr:sp macro="" textlink="">
      <xdr:nvSpPr>
        <xdr:cNvPr id="10256" name="Rectangle: Rounded Corners 10255">
          <a:hlinkClick xmlns:r="http://schemas.openxmlformats.org/officeDocument/2006/relationships" r:id="rId12"/>
          <a:extLst>
            <a:ext uri="{FF2B5EF4-FFF2-40B4-BE49-F238E27FC236}">
              <a16:creationId xmlns:a16="http://schemas.microsoft.com/office/drawing/2014/main" id="{FE2D7185-27F0-B797-926A-04D40F916308}"/>
            </a:ext>
          </a:extLst>
        </xdr:cNvPr>
        <xdr:cNvSpPr/>
      </xdr:nvSpPr>
      <xdr:spPr>
        <a:xfrm>
          <a:off x="6128894" y="101614"/>
          <a:ext cx="617487" cy="23319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Schedule</a:t>
          </a:r>
        </a:p>
      </xdr:txBody>
    </xdr:sp>
    <xdr:clientData/>
  </xdr:twoCellAnchor>
  <xdr:twoCellAnchor>
    <xdr:from>
      <xdr:col>11</xdr:col>
      <xdr:colOff>390199</xdr:colOff>
      <xdr:row>0</xdr:row>
      <xdr:rowOff>101614</xdr:rowOff>
    </xdr:from>
    <xdr:to>
      <xdr:col>13</xdr:col>
      <xdr:colOff>1563</xdr:colOff>
      <xdr:row>1</xdr:row>
      <xdr:rowOff>154334</xdr:rowOff>
    </xdr:to>
    <xdr:sp macro="" textlink="">
      <xdr:nvSpPr>
        <xdr:cNvPr id="10257" name="Rectangle: Rounded Corners 10256">
          <a:hlinkClick xmlns:r="http://schemas.openxmlformats.org/officeDocument/2006/relationships" r:id="rId13"/>
          <a:extLst>
            <a:ext uri="{FF2B5EF4-FFF2-40B4-BE49-F238E27FC236}">
              <a16:creationId xmlns:a16="http://schemas.microsoft.com/office/drawing/2014/main" id="{8514390D-0D2F-C31F-E60A-D0D74CC53009}"/>
            </a:ext>
          </a:extLst>
        </xdr:cNvPr>
        <xdr:cNvSpPr/>
      </xdr:nvSpPr>
      <xdr:spPr>
        <a:xfrm>
          <a:off x="6773620" y="101614"/>
          <a:ext cx="827890" cy="23319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Ratio Analysis</a:t>
          </a:r>
        </a:p>
      </xdr:txBody>
    </xdr:sp>
    <xdr:clientData/>
  </xdr:twoCellAnchor>
  <xdr:twoCellAnchor>
    <xdr:from>
      <xdr:col>13</xdr:col>
      <xdr:colOff>28802</xdr:colOff>
      <xdr:row>0</xdr:row>
      <xdr:rowOff>101614</xdr:rowOff>
    </xdr:from>
    <xdr:to>
      <xdr:col>15</xdr:col>
      <xdr:colOff>32340</xdr:colOff>
      <xdr:row>1</xdr:row>
      <xdr:rowOff>154334</xdr:rowOff>
    </xdr:to>
    <xdr:sp macro="" textlink="">
      <xdr:nvSpPr>
        <xdr:cNvPr id="10258" name="Rectangle: Rounded Corners 10257">
          <a:hlinkClick xmlns:r="http://schemas.openxmlformats.org/officeDocument/2006/relationships" r:id="rId14"/>
          <a:extLst>
            <a:ext uri="{FF2B5EF4-FFF2-40B4-BE49-F238E27FC236}">
              <a16:creationId xmlns:a16="http://schemas.microsoft.com/office/drawing/2014/main" id="{6FC26440-134A-7B75-928B-3936F1FCEB9A}"/>
            </a:ext>
          </a:extLst>
        </xdr:cNvPr>
        <xdr:cNvSpPr/>
      </xdr:nvSpPr>
      <xdr:spPr>
        <a:xfrm>
          <a:off x="7628749" y="101614"/>
          <a:ext cx="1220065" cy="23319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Common-Size Analysis</a:t>
          </a:r>
        </a:p>
      </xdr:txBody>
    </xdr:sp>
    <xdr:clientData/>
  </xdr:twoCellAnchor>
  <xdr:twoCellAnchor>
    <xdr:from>
      <xdr:col>15</xdr:col>
      <xdr:colOff>59577</xdr:colOff>
      <xdr:row>0</xdr:row>
      <xdr:rowOff>103208</xdr:rowOff>
    </xdr:from>
    <xdr:to>
      <xdr:col>17</xdr:col>
      <xdr:colOff>10798</xdr:colOff>
      <xdr:row>1</xdr:row>
      <xdr:rowOff>156339</xdr:rowOff>
    </xdr:to>
    <xdr:sp macro="" textlink="">
      <xdr:nvSpPr>
        <xdr:cNvPr id="10259" name="Rectangle: Rounded Corners 10258">
          <a:hlinkClick xmlns:r="http://schemas.openxmlformats.org/officeDocument/2006/relationships" r:id="rId15"/>
          <a:extLst>
            <a:ext uri="{FF2B5EF4-FFF2-40B4-BE49-F238E27FC236}">
              <a16:creationId xmlns:a16="http://schemas.microsoft.com/office/drawing/2014/main" id="{7D2C938D-9884-7854-15DB-6CCDE0F97699}"/>
            </a:ext>
          </a:extLst>
        </xdr:cNvPr>
        <xdr:cNvSpPr/>
      </xdr:nvSpPr>
      <xdr:spPr>
        <a:xfrm>
          <a:off x="8932960" y="103208"/>
          <a:ext cx="1176118" cy="238290"/>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Comparative</a:t>
          </a:r>
          <a:r>
            <a:rPr lang="en-IN" sz="900" b="1" baseline="0">
              <a:latin typeface="+mj-lt"/>
              <a:cs typeface="Segoe UI" panose="020B0502040204020203" pitchFamily="34" charset="0"/>
            </a:rPr>
            <a:t> Analysis</a:t>
          </a:r>
          <a:endParaRPr lang="en-IN" sz="900" b="1">
            <a:latin typeface="+mj-lt"/>
            <a:cs typeface="Segoe UI" panose="020B0502040204020203" pitchFamily="34" charset="0"/>
          </a:endParaRPr>
        </a:p>
      </xdr:txBody>
    </xdr:sp>
    <xdr:clientData/>
  </xdr:twoCellAnchor>
  <xdr:twoCellAnchor>
    <xdr:from>
      <xdr:col>3</xdr:col>
      <xdr:colOff>426367</xdr:colOff>
      <xdr:row>0</xdr:row>
      <xdr:rowOff>101614</xdr:rowOff>
    </xdr:from>
    <xdr:to>
      <xdr:col>4</xdr:col>
      <xdr:colOff>515203</xdr:colOff>
      <xdr:row>1</xdr:row>
      <xdr:rowOff>154335</xdr:rowOff>
    </xdr:to>
    <xdr:sp macro="" textlink="">
      <xdr:nvSpPr>
        <xdr:cNvPr id="10260" name="Rectangle: Rounded Corners 10259">
          <a:hlinkClick xmlns:r="http://schemas.openxmlformats.org/officeDocument/2006/relationships" r:id="rId16"/>
          <a:extLst>
            <a:ext uri="{FF2B5EF4-FFF2-40B4-BE49-F238E27FC236}">
              <a16:creationId xmlns:a16="http://schemas.microsoft.com/office/drawing/2014/main" id="{C035A5ED-837B-3DA0-D731-8C28B30798C9}"/>
            </a:ext>
          </a:extLst>
        </xdr:cNvPr>
        <xdr:cNvSpPr/>
      </xdr:nvSpPr>
      <xdr:spPr>
        <a:xfrm>
          <a:off x="1950367" y="101614"/>
          <a:ext cx="698436" cy="235601"/>
        </a:xfrm>
        <a:prstGeom prst="roundRect">
          <a:avLst/>
        </a:prstGeom>
        <a:solidFill>
          <a:schemeClr val="accent1">
            <a:lumMod val="75000"/>
          </a:schemeClr>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8561</xdr:colOff>
      <xdr:row>0</xdr:row>
      <xdr:rowOff>103572</xdr:rowOff>
    </xdr:from>
    <xdr:to>
      <xdr:col>2</xdr:col>
      <xdr:colOff>378892</xdr:colOff>
      <xdr:row>4</xdr:row>
      <xdr:rowOff>198119</xdr:rowOff>
    </xdr:to>
    <xdr:pic>
      <xdr:nvPicPr>
        <xdr:cNvPr id="2" name="Picture 1">
          <a:extLst>
            <a:ext uri="{FF2B5EF4-FFF2-40B4-BE49-F238E27FC236}">
              <a16:creationId xmlns:a16="http://schemas.microsoft.com/office/drawing/2014/main" id="{0AEC2A20-1174-49F4-B39F-D1AEBCCC731A}"/>
            </a:ext>
          </a:extLst>
        </xdr:cNvPr>
        <xdr:cNvPicPr>
          <a:picLocks noChangeAspect="1"/>
        </xdr:cNvPicPr>
      </xdr:nvPicPr>
      <xdr:blipFill>
        <a:blip xmlns:r="http://schemas.openxmlformats.org/officeDocument/2006/relationships" r:embed="rId1"/>
        <a:stretch>
          <a:fillRect/>
        </a:stretch>
      </xdr:blipFill>
      <xdr:spPr>
        <a:xfrm>
          <a:off x="200911" y="103572"/>
          <a:ext cx="976971" cy="878741"/>
        </a:xfrm>
        <a:prstGeom prst="rect">
          <a:avLst/>
        </a:prstGeom>
      </xdr:spPr>
    </xdr:pic>
    <xdr:clientData/>
  </xdr:twoCellAnchor>
  <xdr:twoCellAnchor>
    <xdr:from>
      <xdr:col>6</xdr:col>
      <xdr:colOff>725675</xdr:colOff>
      <xdr:row>1</xdr:row>
      <xdr:rowOff>0</xdr:rowOff>
    </xdr:from>
    <xdr:to>
      <xdr:col>7</xdr:col>
      <xdr:colOff>646306</xdr:colOff>
      <xdr:row>2</xdr:row>
      <xdr:rowOff>49904</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2EBADB32-4FCB-4513-8015-779885B7BF47}"/>
            </a:ext>
          </a:extLst>
        </xdr:cNvPr>
        <xdr:cNvSpPr/>
      </xdr:nvSpPr>
      <xdr:spPr>
        <a:xfrm>
          <a:off x="5068157" y="183614"/>
          <a:ext cx="948872" cy="233519"/>
        </a:xfrm>
        <a:prstGeom prst="roundRect">
          <a:avLst/>
        </a:prstGeom>
        <a:solidFill>
          <a:schemeClr val="accent1">
            <a:lumMod val="75000"/>
          </a:schemeClr>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Valuation-FCFF</a:t>
          </a:r>
        </a:p>
      </xdr:txBody>
    </xdr:sp>
    <xdr:clientData/>
  </xdr:twoCellAnchor>
  <xdr:twoCellAnchor>
    <xdr:from>
      <xdr:col>7</xdr:col>
      <xdr:colOff>673545</xdr:colOff>
      <xdr:row>1</xdr:row>
      <xdr:rowOff>0</xdr:rowOff>
    </xdr:from>
    <xdr:to>
      <xdr:col>8</xdr:col>
      <xdr:colOff>695625</xdr:colOff>
      <xdr:row>2</xdr:row>
      <xdr:rowOff>49904</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BABD309B-A709-4040-B794-1BCD08BF9889}"/>
            </a:ext>
          </a:extLst>
        </xdr:cNvPr>
        <xdr:cNvSpPr/>
      </xdr:nvSpPr>
      <xdr:spPr>
        <a:xfrm>
          <a:off x="6044268" y="183614"/>
          <a:ext cx="1050321" cy="233519"/>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Sensitivity Analysis</a:t>
          </a:r>
        </a:p>
      </xdr:txBody>
    </xdr:sp>
    <xdr:clientData/>
  </xdr:twoCellAnchor>
  <xdr:twoCellAnchor>
    <xdr:from>
      <xdr:col>8</xdr:col>
      <xdr:colOff>722864</xdr:colOff>
      <xdr:row>1</xdr:row>
      <xdr:rowOff>0</xdr:rowOff>
    </xdr:from>
    <xdr:to>
      <xdr:col>9</xdr:col>
      <xdr:colOff>142850</xdr:colOff>
      <xdr:row>2</xdr:row>
      <xdr:rowOff>50813</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37ECF708-9BAB-4BF8-A18E-9241EDDB207E}"/>
            </a:ext>
          </a:extLst>
        </xdr:cNvPr>
        <xdr:cNvSpPr/>
      </xdr:nvSpPr>
      <xdr:spPr>
        <a:xfrm>
          <a:off x="7121828" y="183614"/>
          <a:ext cx="448227" cy="234428"/>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SOFP</a:t>
          </a:r>
        </a:p>
      </xdr:txBody>
    </xdr:sp>
    <xdr:clientData/>
  </xdr:twoCellAnchor>
  <xdr:twoCellAnchor>
    <xdr:from>
      <xdr:col>9</xdr:col>
      <xdr:colOff>171426</xdr:colOff>
      <xdr:row>1</xdr:row>
      <xdr:rowOff>0</xdr:rowOff>
    </xdr:from>
    <xdr:to>
      <xdr:col>9</xdr:col>
      <xdr:colOff>608279</xdr:colOff>
      <xdr:row>2</xdr:row>
      <xdr:rowOff>50813</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8BE0FC4F-9097-48B7-B803-CE1A5A2CE402}"/>
            </a:ext>
          </a:extLst>
        </xdr:cNvPr>
        <xdr:cNvSpPr/>
      </xdr:nvSpPr>
      <xdr:spPr>
        <a:xfrm>
          <a:off x="7598631" y="183614"/>
          <a:ext cx="436853" cy="234428"/>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SOPL</a:t>
          </a:r>
        </a:p>
      </xdr:txBody>
    </xdr:sp>
    <xdr:clientData/>
  </xdr:twoCellAnchor>
  <xdr:twoCellAnchor>
    <xdr:from>
      <xdr:col>9</xdr:col>
      <xdr:colOff>635518</xdr:colOff>
      <xdr:row>1</xdr:row>
      <xdr:rowOff>0</xdr:rowOff>
    </xdr:from>
    <xdr:to>
      <xdr:col>10</xdr:col>
      <xdr:colOff>54366</xdr:colOff>
      <xdr:row>2</xdr:row>
      <xdr:rowOff>50813</xdr:rowOff>
    </xdr:to>
    <xdr:sp macro="" textlink="">
      <xdr:nvSpPr>
        <xdr:cNvPr id="7" name="Rectangle: Rounded Corners 6">
          <a:hlinkClick xmlns:r="http://schemas.openxmlformats.org/officeDocument/2006/relationships" r:id="rId6"/>
          <a:extLst>
            <a:ext uri="{FF2B5EF4-FFF2-40B4-BE49-F238E27FC236}">
              <a16:creationId xmlns:a16="http://schemas.microsoft.com/office/drawing/2014/main" id="{53C266B9-3CA5-4E08-9A0D-770162DC7614}"/>
            </a:ext>
          </a:extLst>
        </xdr:cNvPr>
        <xdr:cNvSpPr/>
      </xdr:nvSpPr>
      <xdr:spPr>
        <a:xfrm>
          <a:off x="8062723" y="183614"/>
          <a:ext cx="447089" cy="234428"/>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SOCF</a:t>
          </a:r>
        </a:p>
      </xdr:txBody>
    </xdr:sp>
    <xdr:clientData/>
  </xdr:twoCellAnchor>
  <xdr:twoCellAnchor>
    <xdr:from>
      <xdr:col>10</xdr:col>
      <xdr:colOff>81605</xdr:colOff>
      <xdr:row>1</xdr:row>
      <xdr:rowOff>0</xdr:rowOff>
    </xdr:from>
    <xdr:to>
      <xdr:col>11</xdr:col>
      <xdr:colOff>94502</xdr:colOff>
      <xdr:row>2</xdr:row>
      <xdr:rowOff>50813</xdr:rowOff>
    </xdr:to>
    <xdr:sp macro="" textlink="">
      <xdr:nvSpPr>
        <xdr:cNvPr id="8" name="Rectangle: Rounded Corners 7">
          <a:hlinkClick xmlns:r="http://schemas.openxmlformats.org/officeDocument/2006/relationships" r:id="rId7"/>
          <a:extLst>
            <a:ext uri="{FF2B5EF4-FFF2-40B4-BE49-F238E27FC236}">
              <a16:creationId xmlns:a16="http://schemas.microsoft.com/office/drawing/2014/main" id="{6D6A3455-7B44-4A4A-BF2B-0BE7793403B6}"/>
            </a:ext>
          </a:extLst>
        </xdr:cNvPr>
        <xdr:cNvSpPr/>
      </xdr:nvSpPr>
      <xdr:spPr>
        <a:xfrm>
          <a:off x="8537051" y="183614"/>
          <a:ext cx="618824" cy="234428"/>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Schedule</a:t>
          </a:r>
        </a:p>
      </xdr:txBody>
    </xdr:sp>
    <xdr:clientData/>
  </xdr:twoCellAnchor>
  <xdr:twoCellAnchor>
    <xdr:from>
      <xdr:col>11</xdr:col>
      <xdr:colOff>121741</xdr:colOff>
      <xdr:row>1</xdr:row>
      <xdr:rowOff>0</xdr:rowOff>
    </xdr:from>
    <xdr:to>
      <xdr:col>11</xdr:col>
      <xdr:colOff>952305</xdr:colOff>
      <xdr:row>2</xdr:row>
      <xdr:rowOff>50813</xdr:rowOff>
    </xdr:to>
    <xdr:sp macro="" textlink="">
      <xdr:nvSpPr>
        <xdr:cNvPr id="9" name="Rectangle: Rounded Corners 8">
          <a:hlinkClick xmlns:r="http://schemas.openxmlformats.org/officeDocument/2006/relationships" r:id="rId8"/>
          <a:extLst>
            <a:ext uri="{FF2B5EF4-FFF2-40B4-BE49-F238E27FC236}">
              <a16:creationId xmlns:a16="http://schemas.microsoft.com/office/drawing/2014/main" id="{FF5BB47A-9A30-4612-A2B8-6E4863E50355}"/>
            </a:ext>
          </a:extLst>
        </xdr:cNvPr>
        <xdr:cNvSpPr/>
      </xdr:nvSpPr>
      <xdr:spPr>
        <a:xfrm>
          <a:off x="9183114" y="183614"/>
          <a:ext cx="830564" cy="234428"/>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Ratio Analysis</a:t>
          </a:r>
        </a:p>
      </xdr:txBody>
    </xdr:sp>
    <xdr:clientData/>
  </xdr:twoCellAnchor>
  <xdr:twoCellAnchor>
    <xdr:from>
      <xdr:col>11</xdr:col>
      <xdr:colOff>979544</xdr:colOff>
      <xdr:row>1</xdr:row>
      <xdr:rowOff>0</xdr:rowOff>
    </xdr:from>
    <xdr:to>
      <xdr:col>13</xdr:col>
      <xdr:colOff>72354</xdr:colOff>
      <xdr:row>2</xdr:row>
      <xdr:rowOff>50813</xdr:rowOff>
    </xdr:to>
    <xdr:sp macro="" textlink="">
      <xdr:nvSpPr>
        <xdr:cNvPr id="10" name="Rectangle: Rounded Corners 9">
          <a:hlinkClick xmlns:r="http://schemas.openxmlformats.org/officeDocument/2006/relationships" r:id="rId9"/>
          <a:extLst>
            <a:ext uri="{FF2B5EF4-FFF2-40B4-BE49-F238E27FC236}">
              <a16:creationId xmlns:a16="http://schemas.microsoft.com/office/drawing/2014/main" id="{EBF356AA-6279-4C9B-9C16-D977F505B4A1}"/>
            </a:ext>
          </a:extLst>
        </xdr:cNvPr>
        <xdr:cNvSpPr/>
      </xdr:nvSpPr>
      <xdr:spPr>
        <a:xfrm>
          <a:off x="10040917" y="183614"/>
          <a:ext cx="1222738" cy="234428"/>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Common-Size Analysis</a:t>
          </a:r>
        </a:p>
      </xdr:txBody>
    </xdr:sp>
    <xdr:clientData/>
  </xdr:twoCellAnchor>
  <xdr:twoCellAnchor>
    <xdr:from>
      <xdr:col>13</xdr:col>
      <xdr:colOff>99591</xdr:colOff>
      <xdr:row>1</xdr:row>
      <xdr:rowOff>1594</xdr:rowOff>
    </xdr:from>
    <xdr:to>
      <xdr:col>14</xdr:col>
      <xdr:colOff>205048</xdr:colOff>
      <xdr:row>2</xdr:row>
      <xdr:rowOff>52818</xdr:rowOff>
    </xdr:to>
    <xdr:sp macro="" textlink="">
      <xdr:nvSpPr>
        <xdr:cNvPr id="11" name="Rectangle: Rounded Corners 10">
          <a:hlinkClick xmlns:r="http://schemas.openxmlformats.org/officeDocument/2006/relationships" r:id="rId10"/>
          <a:extLst>
            <a:ext uri="{FF2B5EF4-FFF2-40B4-BE49-F238E27FC236}">
              <a16:creationId xmlns:a16="http://schemas.microsoft.com/office/drawing/2014/main" id="{CC1D552B-50F6-4E0A-8963-54C251001B21}"/>
            </a:ext>
          </a:extLst>
        </xdr:cNvPr>
        <xdr:cNvSpPr/>
      </xdr:nvSpPr>
      <xdr:spPr>
        <a:xfrm>
          <a:off x="11290892" y="185208"/>
          <a:ext cx="1170421" cy="234839"/>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Comparative</a:t>
          </a:r>
          <a:r>
            <a:rPr lang="en-IN" sz="900" b="1" baseline="0">
              <a:latin typeface="+mj-lt"/>
              <a:cs typeface="Segoe UI" panose="020B0502040204020203" pitchFamily="34" charset="0"/>
            </a:rPr>
            <a:t> Analysis</a:t>
          </a:r>
          <a:endParaRPr lang="en-IN" sz="900" b="1">
            <a:latin typeface="+mj-lt"/>
            <a:cs typeface="Segoe UI" panose="020B0502040204020203" pitchFamily="34" charset="0"/>
          </a:endParaRPr>
        </a:p>
      </xdr:txBody>
    </xdr:sp>
    <xdr:clientData/>
  </xdr:twoCellAnchor>
  <xdr:twoCellAnchor>
    <xdr:from>
      <xdr:col>6</xdr:col>
      <xdr:colOff>0</xdr:colOff>
      <xdr:row>1</xdr:row>
      <xdr:rowOff>0</xdr:rowOff>
    </xdr:from>
    <xdr:to>
      <xdr:col>6</xdr:col>
      <xdr:colOff>698436</xdr:colOff>
      <xdr:row>2</xdr:row>
      <xdr:rowOff>50814</xdr:rowOff>
    </xdr:to>
    <xdr:sp macro="" textlink="">
      <xdr:nvSpPr>
        <xdr:cNvPr id="12" name="Rectangle: Rounded Corners 11">
          <a:hlinkClick xmlns:r="http://schemas.openxmlformats.org/officeDocument/2006/relationships" r:id="rId11"/>
          <a:extLst>
            <a:ext uri="{FF2B5EF4-FFF2-40B4-BE49-F238E27FC236}">
              <a16:creationId xmlns:a16="http://schemas.microsoft.com/office/drawing/2014/main" id="{FF892AC4-7424-475D-A248-660883069A22}"/>
            </a:ext>
          </a:extLst>
        </xdr:cNvPr>
        <xdr:cNvSpPr/>
      </xdr:nvSpPr>
      <xdr:spPr>
        <a:xfrm>
          <a:off x="4342482" y="183614"/>
          <a:ext cx="698436" cy="234429"/>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8561</xdr:colOff>
      <xdr:row>0</xdr:row>
      <xdr:rowOff>76200</xdr:rowOff>
    </xdr:from>
    <xdr:to>
      <xdr:col>1</xdr:col>
      <xdr:colOff>988492</xdr:colOff>
      <xdr:row>4</xdr:row>
      <xdr:rowOff>198120</xdr:rowOff>
    </xdr:to>
    <xdr:pic>
      <xdr:nvPicPr>
        <xdr:cNvPr id="2" name="Picture 1">
          <a:extLst>
            <a:ext uri="{FF2B5EF4-FFF2-40B4-BE49-F238E27FC236}">
              <a16:creationId xmlns:a16="http://schemas.microsoft.com/office/drawing/2014/main" id="{23DF9691-0CE7-4674-B719-86D12494E0E4}"/>
            </a:ext>
          </a:extLst>
        </xdr:cNvPr>
        <xdr:cNvPicPr>
          <a:picLocks noChangeAspect="1"/>
        </xdr:cNvPicPr>
      </xdr:nvPicPr>
      <xdr:blipFill>
        <a:blip xmlns:r="http://schemas.openxmlformats.org/officeDocument/2006/relationships" r:embed="rId1"/>
        <a:stretch>
          <a:fillRect/>
        </a:stretch>
      </xdr:blipFill>
      <xdr:spPr>
        <a:xfrm>
          <a:off x="618161" y="76200"/>
          <a:ext cx="979931" cy="899160"/>
        </a:xfrm>
        <a:prstGeom prst="rect">
          <a:avLst/>
        </a:prstGeom>
      </xdr:spPr>
    </xdr:pic>
    <xdr:clientData/>
  </xdr:twoCellAnchor>
  <xdr:twoCellAnchor>
    <xdr:from>
      <xdr:col>10</xdr:col>
      <xdr:colOff>73742</xdr:colOff>
      <xdr:row>7</xdr:row>
      <xdr:rowOff>12290</xdr:rowOff>
    </xdr:from>
    <xdr:to>
      <xdr:col>13</xdr:col>
      <xdr:colOff>988979</xdr:colOff>
      <xdr:row>20</xdr:row>
      <xdr:rowOff>0</xdr:rowOff>
    </xdr:to>
    <xdr:graphicFrame macro="">
      <xdr:nvGraphicFramePr>
        <xdr:cNvPr id="5" name="Chart 4">
          <a:extLst>
            <a:ext uri="{FF2B5EF4-FFF2-40B4-BE49-F238E27FC236}">
              <a16:creationId xmlns:a16="http://schemas.microsoft.com/office/drawing/2014/main" id="{85A9FBC9-3CFE-32A6-AE46-685F350FC6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725675</xdr:colOff>
      <xdr:row>1</xdr:row>
      <xdr:rowOff>0</xdr:rowOff>
    </xdr:from>
    <xdr:to>
      <xdr:col>8</xdr:col>
      <xdr:colOff>681662</xdr:colOff>
      <xdr:row>2</xdr:row>
      <xdr:rowOff>49656</xdr:rowOff>
    </xdr:to>
    <xdr:sp macro="" textlink="">
      <xdr:nvSpPr>
        <xdr:cNvPr id="3" name="Rectangle: Rounded Corners 2">
          <a:hlinkClick xmlns:r="http://schemas.openxmlformats.org/officeDocument/2006/relationships" r:id="rId3"/>
          <a:extLst>
            <a:ext uri="{FF2B5EF4-FFF2-40B4-BE49-F238E27FC236}">
              <a16:creationId xmlns:a16="http://schemas.microsoft.com/office/drawing/2014/main" id="{CEC736E9-D11F-4DA8-A635-1DC2DC86A992}"/>
            </a:ext>
          </a:extLst>
        </xdr:cNvPr>
        <xdr:cNvSpPr/>
      </xdr:nvSpPr>
      <xdr:spPr>
        <a:xfrm>
          <a:off x="5604132" y="182217"/>
          <a:ext cx="949900" cy="23187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Valuation-FCFF</a:t>
          </a:r>
        </a:p>
      </xdr:txBody>
    </xdr:sp>
    <xdr:clientData/>
  </xdr:twoCellAnchor>
  <xdr:twoCellAnchor>
    <xdr:from>
      <xdr:col>8</xdr:col>
      <xdr:colOff>708901</xdr:colOff>
      <xdr:row>1</xdr:row>
      <xdr:rowOff>0</xdr:rowOff>
    </xdr:from>
    <xdr:to>
      <xdr:col>9</xdr:col>
      <xdr:colOff>766337</xdr:colOff>
      <xdr:row>2</xdr:row>
      <xdr:rowOff>49656</xdr:rowOff>
    </xdr:to>
    <xdr:sp macro="" textlink="">
      <xdr:nvSpPr>
        <xdr:cNvPr id="4" name="Rectangle: Rounded Corners 3">
          <a:hlinkClick xmlns:r="http://schemas.openxmlformats.org/officeDocument/2006/relationships" r:id="rId4"/>
          <a:extLst>
            <a:ext uri="{FF2B5EF4-FFF2-40B4-BE49-F238E27FC236}">
              <a16:creationId xmlns:a16="http://schemas.microsoft.com/office/drawing/2014/main" id="{9BB4B4FD-B419-46B9-ABFC-294EA6D4BCC3}"/>
            </a:ext>
          </a:extLst>
        </xdr:cNvPr>
        <xdr:cNvSpPr/>
      </xdr:nvSpPr>
      <xdr:spPr>
        <a:xfrm>
          <a:off x="6581271" y="182217"/>
          <a:ext cx="1051349" cy="231874"/>
        </a:xfrm>
        <a:prstGeom prst="roundRect">
          <a:avLst/>
        </a:prstGeom>
        <a:solidFill>
          <a:schemeClr val="accent1">
            <a:lumMod val="75000"/>
          </a:schemeClr>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Sensitivity Analysis</a:t>
          </a:r>
        </a:p>
      </xdr:txBody>
    </xdr:sp>
    <xdr:clientData/>
  </xdr:twoCellAnchor>
  <xdr:twoCellAnchor>
    <xdr:from>
      <xdr:col>9</xdr:col>
      <xdr:colOff>793576</xdr:colOff>
      <xdr:row>1</xdr:row>
      <xdr:rowOff>0</xdr:rowOff>
    </xdr:from>
    <xdr:to>
      <xdr:col>10</xdr:col>
      <xdr:colOff>248917</xdr:colOff>
      <xdr:row>2</xdr:row>
      <xdr:rowOff>50565</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24BB1F14-32D8-4AFC-A303-F2F13F629BF7}"/>
            </a:ext>
          </a:extLst>
        </xdr:cNvPr>
        <xdr:cNvSpPr/>
      </xdr:nvSpPr>
      <xdr:spPr>
        <a:xfrm>
          <a:off x="7659859" y="182217"/>
          <a:ext cx="449254"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SOFP</a:t>
          </a:r>
        </a:p>
      </xdr:txBody>
    </xdr:sp>
    <xdr:clientData/>
  </xdr:twoCellAnchor>
  <xdr:twoCellAnchor>
    <xdr:from>
      <xdr:col>10</xdr:col>
      <xdr:colOff>277493</xdr:colOff>
      <xdr:row>1</xdr:row>
      <xdr:rowOff>0</xdr:rowOff>
    </xdr:from>
    <xdr:to>
      <xdr:col>11</xdr:col>
      <xdr:colOff>200825</xdr:colOff>
      <xdr:row>2</xdr:row>
      <xdr:rowOff>50565</xdr:rowOff>
    </xdr:to>
    <xdr:sp macro="" textlink="">
      <xdr:nvSpPr>
        <xdr:cNvPr id="7" name="Rectangle: Rounded Corners 6">
          <a:hlinkClick xmlns:r="http://schemas.openxmlformats.org/officeDocument/2006/relationships" r:id="rId6"/>
          <a:extLst>
            <a:ext uri="{FF2B5EF4-FFF2-40B4-BE49-F238E27FC236}">
              <a16:creationId xmlns:a16="http://schemas.microsoft.com/office/drawing/2014/main" id="{11B3653D-4284-4BC9-A154-D2A9848259FC}"/>
            </a:ext>
          </a:extLst>
        </xdr:cNvPr>
        <xdr:cNvSpPr/>
      </xdr:nvSpPr>
      <xdr:spPr>
        <a:xfrm>
          <a:off x="8137689" y="182217"/>
          <a:ext cx="436853"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SOPL</a:t>
          </a:r>
        </a:p>
      </xdr:txBody>
    </xdr:sp>
    <xdr:clientData/>
  </xdr:twoCellAnchor>
  <xdr:twoCellAnchor>
    <xdr:from>
      <xdr:col>11</xdr:col>
      <xdr:colOff>228064</xdr:colOff>
      <xdr:row>1</xdr:row>
      <xdr:rowOff>0</xdr:rowOff>
    </xdr:from>
    <xdr:to>
      <xdr:col>11</xdr:col>
      <xdr:colOff>676181</xdr:colOff>
      <xdr:row>2</xdr:row>
      <xdr:rowOff>50565</xdr:rowOff>
    </xdr:to>
    <xdr:sp macro="" textlink="">
      <xdr:nvSpPr>
        <xdr:cNvPr id="8" name="Rectangle: Rounded Corners 7">
          <a:hlinkClick xmlns:r="http://schemas.openxmlformats.org/officeDocument/2006/relationships" r:id="rId7"/>
          <a:extLst>
            <a:ext uri="{FF2B5EF4-FFF2-40B4-BE49-F238E27FC236}">
              <a16:creationId xmlns:a16="http://schemas.microsoft.com/office/drawing/2014/main" id="{83F7A150-9D76-4F4F-B2CA-BDD01ED06A7E}"/>
            </a:ext>
          </a:extLst>
        </xdr:cNvPr>
        <xdr:cNvSpPr/>
      </xdr:nvSpPr>
      <xdr:spPr>
        <a:xfrm>
          <a:off x="8601781" y="182217"/>
          <a:ext cx="448117"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SOCF</a:t>
          </a:r>
        </a:p>
      </xdr:txBody>
    </xdr:sp>
    <xdr:clientData/>
  </xdr:twoCellAnchor>
  <xdr:twoCellAnchor>
    <xdr:from>
      <xdr:col>11</xdr:col>
      <xdr:colOff>703420</xdr:colOff>
      <xdr:row>1</xdr:row>
      <xdr:rowOff>0</xdr:rowOff>
    </xdr:from>
    <xdr:to>
      <xdr:col>12</xdr:col>
      <xdr:colOff>198345</xdr:colOff>
      <xdr:row>2</xdr:row>
      <xdr:rowOff>50565</xdr:rowOff>
    </xdr:to>
    <xdr:sp macro="" textlink="">
      <xdr:nvSpPr>
        <xdr:cNvPr id="9" name="Rectangle: Rounded Corners 8">
          <a:hlinkClick xmlns:r="http://schemas.openxmlformats.org/officeDocument/2006/relationships" r:id="rId8"/>
          <a:extLst>
            <a:ext uri="{FF2B5EF4-FFF2-40B4-BE49-F238E27FC236}">
              <a16:creationId xmlns:a16="http://schemas.microsoft.com/office/drawing/2014/main" id="{D58A3535-EA58-4C6A-8B85-9D04D603BC28}"/>
            </a:ext>
          </a:extLst>
        </xdr:cNvPr>
        <xdr:cNvSpPr/>
      </xdr:nvSpPr>
      <xdr:spPr>
        <a:xfrm>
          <a:off x="9077137" y="182217"/>
          <a:ext cx="621360"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Schedule</a:t>
          </a:r>
        </a:p>
      </xdr:txBody>
    </xdr:sp>
    <xdr:clientData/>
  </xdr:twoCellAnchor>
  <xdr:twoCellAnchor>
    <xdr:from>
      <xdr:col>12</xdr:col>
      <xdr:colOff>225584</xdr:colOff>
      <xdr:row>1</xdr:row>
      <xdr:rowOff>0</xdr:rowOff>
    </xdr:from>
    <xdr:to>
      <xdr:col>12</xdr:col>
      <xdr:colOff>1056148</xdr:colOff>
      <xdr:row>2</xdr:row>
      <xdr:rowOff>50565</xdr:rowOff>
    </xdr:to>
    <xdr:sp macro="" textlink="">
      <xdr:nvSpPr>
        <xdr:cNvPr id="10" name="Rectangle: Rounded Corners 9">
          <a:hlinkClick xmlns:r="http://schemas.openxmlformats.org/officeDocument/2006/relationships" r:id="rId9"/>
          <a:extLst>
            <a:ext uri="{FF2B5EF4-FFF2-40B4-BE49-F238E27FC236}">
              <a16:creationId xmlns:a16="http://schemas.microsoft.com/office/drawing/2014/main" id="{F27AA31C-446F-4306-93C6-6418A626904C}"/>
            </a:ext>
          </a:extLst>
        </xdr:cNvPr>
        <xdr:cNvSpPr/>
      </xdr:nvSpPr>
      <xdr:spPr>
        <a:xfrm>
          <a:off x="9725736" y="182217"/>
          <a:ext cx="830564"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Ratio Analysis</a:t>
          </a:r>
        </a:p>
      </xdr:txBody>
    </xdr:sp>
    <xdr:clientData/>
  </xdr:twoCellAnchor>
  <xdr:twoCellAnchor>
    <xdr:from>
      <xdr:col>13</xdr:col>
      <xdr:colOff>6648</xdr:colOff>
      <xdr:row>1</xdr:row>
      <xdr:rowOff>0</xdr:rowOff>
    </xdr:from>
    <xdr:to>
      <xdr:col>14</xdr:col>
      <xdr:colOff>160868</xdr:colOff>
      <xdr:row>2</xdr:row>
      <xdr:rowOff>50565</xdr:rowOff>
    </xdr:to>
    <xdr:sp macro="" textlink="">
      <xdr:nvSpPr>
        <xdr:cNvPr id="11" name="Rectangle: Rounded Corners 10">
          <a:hlinkClick xmlns:r="http://schemas.openxmlformats.org/officeDocument/2006/relationships" r:id="rId10"/>
          <a:extLst>
            <a:ext uri="{FF2B5EF4-FFF2-40B4-BE49-F238E27FC236}">
              <a16:creationId xmlns:a16="http://schemas.microsoft.com/office/drawing/2014/main" id="{030B48B1-0595-4516-B3CD-2795E8C4379D}"/>
            </a:ext>
          </a:extLst>
        </xdr:cNvPr>
        <xdr:cNvSpPr/>
      </xdr:nvSpPr>
      <xdr:spPr>
        <a:xfrm>
          <a:off x="10583539" y="182217"/>
          <a:ext cx="1230959"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Common-Size Analysis</a:t>
          </a:r>
        </a:p>
      </xdr:txBody>
    </xdr:sp>
    <xdr:clientData/>
  </xdr:twoCellAnchor>
  <xdr:twoCellAnchor>
    <xdr:from>
      <xdr:col>14</xdr:col>
      <xdr:colOff>188105</xdr:colOff>
      <xdr:row>1</xdr:row>
      <xdr:rowOff>1594</xdr:rowOff>
    </xdr:from>
    <xdr:to>
      <xdr:col>15</xdr:col>
      <xdr:colOff>600637</xdr:colOff>
      <xdr:row>2</xdr:row>
      <xdr:rowOff>52570</xdr:rowOff>
    </xdr:to>
    <xdr:sp macro="" textlink="">
      <xdr:nvSpPr>
        <xdr:cNvPr id="12" name="Rectangle: Rounded Corners 11">
          <a:hlinkClick xmlns:r="http://schemas.openxmlformats.org/officeDocument/2006/relationships" r:id="rId11"/>
          <a:extLst>
            <a:ext uri="{FF2B5EF4-FFF2-40B4-BE49-F238E27FC236}">
              <a16:creationId xmlns:a16="http://schemas.microsoft.com/office/drawing/2014/main" id="{A0322347-8F92-4638-96A7-84359C54592D}"/>
            </a:ext>
          </a:extLst>
        </xdr:cNvPr>
        <xdr:cNvSpPr/>
      </xdr:nvSpPr>
      <xdr:spPr>
        <a:xfrm>
          <a:off x="11841735" y="183811"/>
          <a:ext cx="1174532" cy="23319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Comparative</a:t>
          </a:r>
          <a:r>
            <a:rPr lang="en-IN" sz="900" b="1" baseline="0">
              <a:latin typeface="+mj-lt"/>
              <a:cs typeface="Segoe UI" panose="020B0502040204020203" pitchFamily="34" charset="0"/>
            </a:rPr>
            <a:t> Analysis</a:t>
          </a:r>
          <a:endParaRPr lang="en-IN" sz="900" b="1">
            <a:latin typeface="+mj-lt"/>
            <a:cs typeface="Segoe UI" panose="020B0502040204020203" pitchFamily="34" charset="0"/>
          </a:endParaRPr>
        </a:p>
      </xdr:txBody>
    </xdr:sp>
    <xdr:clientData/>
  </xdr:twoCellAnchor>
  <xdr:twoCellAnchor>
    <xdr:from>
      <xdr:col>7</xdr:col>
      <xdr:colOff>0</xdr:colOff>
      <xdr:row>1</xdr:row>
      <xdr:rowOff>0</xdr:rowOff>
    </xdr:from>
    <xdr:to>
      <xdr:col>7</xdr:col>
      <xdr:colOff>698436</xdr:colOff>
      <xdr:row>2</xdr:row>
      <xdr:rowOff>50566</xdr:rowOff>
    </xdr:to>
    <xdr:sp macro="" textlink="">
      <xdr:nvSpPr>
        <xdr:cNvPr id="13" name="Rectangle: Rounded Corners 12">
          <a:hlinkClick xmlns:r="http://schemas.openxmlformats.org/officeDocument/2006/relationships" r:id="rId12"/>
          <a:extLst>
            <a:ext uri="{FF2B5EF4-FFF2-40B4-BE49-F238E27FC236}">
              <a16:creationId xmlns:a16="http://schemas.microsoft.com/office/drawing/2014/main" id="{A37C5C1F-6D75-4845-9E8D-3C2CD7CD8703}"/>
            </a:ext>
          </a:extLst>
        </xdr:cNvPr>
        <xdr:cNvSpPr/>
      </xdr:nvSpPr>
      <xdr:spPr>
        <a:xfrm>
          <a:off x="4878457" y="182217"/>
          <a:ext cx="698436" cy="23278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Dashboard</a:t>
          </a:r>
        </a:p>
      </xdr:txBody>
    </xdr:sp>
    <xdr:clientData/>
  </xdr:twoCellAnchor>
  <xdr:twoCellAnchor>
    <xdr:from>
      <xdr:col>14</xdr:col>
      <xdr:colOff>56745</xdr:colOff>
      <xdr:row>7</xdr:row>
      <xdr:rowOff>11012</xdr:rowOff>
    </xdr:from>
    <xdr:to>
      <xdr:col>18</xdr:col>
      <xdr:colOff>162128</xdr:colOff>
      <xdr:row>20</xdr:row>
      <xdr:rowOff>1905</xdr:rowOff>
    </xdr:to>
    <xdr:graphicFrame macro="">
      <xdr:nvGraphicFramePr>
        <xdr:cNvPr id="14" name="Chart 13">
          <a:extLst>
            <a:ext uri="{FF2B5EF4-FFF2-40B4-BE49-F238E27FC236}">
              <a16:creationId xmlns:a16="http://schemas.microsoft.com/office/drawing/2014/main" id="{76300F8D-8DB9-F21F-02D3-DEEA0DD324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104116</xdr:colOff>
      <xdr:row>1</xdr:row>
      <xdr:rowOff>121920</xdr:rowOff>
    </xdr:to>
    <xdr:sp macro="" textlink="">
      <xdr:nvSpPr>
        <xdr:cNvPr id="3073" name="AutoShape 1" descr="asian paints colour ideas - TikTok Shop">
          <a:extLst>
            <a:ext uri="{FF2B5EF4-FFF2-40B4-BE49-F238E27FC236}">
              <a16:creationId xmlns:a16="http://schemas.microsoft.com/office/drawing/2014/main" id="{35660AA5-922D-D773-26BF-BD0929C3F4EE}"/>
            </a:ext>
          </a:extLst>
        </xdr:cNvPr>
        <xdr:cNvSpPr>
          <a:spLocks noChangeAspect="1" noChangeArrowheads="1"/>
        </xdr:cNvSpPr>
      </xdr:nvSpPr>
      <xdr:spPr bwMode="auto">
        <a:xfrm>
          <a:off x="0" y="0"/>
          <a:ext cx="304642" cy="30907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10</xdr:row>
      <xdr:rowOff>6563</xdr:rowOff>
    </xdr:to>
    <xdr:sp macro="" textlink="">
      <xdr:nvSpPr>
        <xdr:cNvPr id="3074" name="AutoShape 2" descr="asian paints colour ideas - TikTok Shop">
          <a:extLst>
            <a:ext uri="{FF2B5EF4-FFF2-40B4-BE49-F238E27FC236}">
              <a16:creationId xmlns:a16="http://schemas.microsoft.com/office/drawing/2014/main" id="{E806C8A3-BFFE-3100-B14E-888470FC6834}"/>
            </a:ext>
          </a:extLst>
        </xdr:cNvPr>
        <xdr:cNvSpPr>
          <a:spLocks noChangeAspect="1" noChangeArrowheads="1"/>
        </xdr:cNvSpPr>
      </xdr:nvSpPr>
      <xdr:spPr bwMode="auto">
        <a:xfrm>
          <a:off x="4267200" y="1463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10</xdr:row>
      <xdr:rowOff>6563</xdr:rowOff>
    </xdr:to>
    <xdr:sp macro="" textlink="">
      <xdr:nvSpPr>
        <xdr:cNvPr id="3075" name="AutoShape 3" descr="asian paints colour ideas - TikTok Shop">
          <a:extLst>
            <a:ext uri="{FF2B5EF4-FFF2-40B4-BE49-F238E27FC236}">
              <a16:creationId xmlns:a16="http://schemas.microsoft.com/office/drawing/2014/main" id="{0ADC368F-39E3-D7E2-4F00-346648A851C6}"/>
            </a:ext>
          </a:extLst>
        </xdr:cNvPr>
        <xdr:cNvSpPr>
          <a:spLocks noChangeAspect="1" noChangeArrowheads="1"/>
        </xdr:cNvSpPr>
      </xdr:nvSpPr>
      <xdr:spPr bwMode="auto">
        <a:xfrm>
          <a:off x="4267200" y="1463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10</xdr:row>
      <xdr:rowOff>6563</xdr:rowOff>
    </xdr:to>
    <xdr:sp macro="" textlink="">
      <xdr:nvSpPr>
        <xdr:cNvPr id="3076" name="AutoShape 4" descr="asian paints colour ideas - TikTok Shop">
          <a:extLst>
            <a:ext uri="{FF2B5EF4-FFF2-40B4-BE49-F238E27FC236}">
              <a16:creationId xmlns:a16="http://schemas.microsoft.com/office/drawing/2014/main" id="{8E321690-7640-4B09-45C0-601B3F874EF3}"/>
            </a:ext>
          </a:extLst>
        </xdr:cNvPr>
        <xdr:cNvSpPr>
          <a:spLocks noChangeAspect="1" noChangeArrowheads="1"/>
        </xdr:cNvSpPr>
      </xdr:nvSpPr>
      <xdr:spPr bwMode="auto">
        <a:xfrm>
          <a:off x="4267200" y="1463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8561</xdr:colOff>
      <xdr:row>0</xdr:row>
      <xdr:rowOff>38301</xdr:rowOff>
    </xdr:from>
    <xdr:to>
      <xdr:col>5</xdr:col>
      <xdr:colOff>158313</xdr:colOff>
      <xdr:row>4</xdr:row>
      <xdr:rowOff>131749</xdr:rowOff>
    </xdr:to>
    <xdr:pic>
      <xdr:nvPicPr>
        <xdr:cNvPr id="2" name="Picture 1">
          <a:extLst>
            <a:ext uri="{FF2B5EF4-FFF2-40B4-BE49-F238E27FC236}">
              <a16:creationId xmlns:a16="http://schemas.microsoft.com/office/drawing/2014/main" id="{706B44D3-ED62-4E53-822B-95827048A679}"/>
            </a:ext>
          </a:extLst>
        </xdr:cNvPr>
        <xdr:cNvPicPr>
          <a:picLocks noChangeAspect="1"/>
        </xdr:cNvPicPr>
      </xdr:nvPicPr>
      <xdr:blipFill>
        <a:blip xmlns:r="http://schemas.openxmlformats.org/officeDocument/2006/relationships" r:embed="rId1"/>
        <a:stretch>
          <a:fillRect/>
        </a:stretch>
      </xdr:blipFill>
      <xdr:spPr>
        <a:xfrm>
          <a:off x="204304" y="38301"/>
          <a:ext cx="988651" cy="866329"/>
        </a:xfrm>
        <a:prstGeom prst="rect">
          <a:avLst/>
        </a:prstGeom>
      </xdr:spPr>
    </xdr:pic>
    <xdr:clientData/>
  </xdr:twoCellAnchor>
  <xdr:twoCellAnchor editAs="oneCell">
    <xdr:from>
      <xdr:col>4</xdr:col>
      <xdr:colOff>0</xdr:colOff>
      <xdr:row>28</xdr:row>
      <xdr:rowOff>0</xdr:rowOff>
    </xdr:from>
    <xdr:to>
      <xdr:col>5</xdr:col>
      <xdr:colOff>229646</xdr:colOff>
      <xdr:row>29</xdr:row>
      <xdr:rowOff>121920</xdr:rowOff>
    </xdr:to>
    <xdr:sp macro="" textlink="">
      <xdr:nvSpPr>
        <xdr:cNvPr id="3" name="AutoShape 2" descr="asian paints colour ideas - TikTok Shop">
          <a:extLst>
            <a:ext uri="{FF2B5EF4-FFF2-40B4-BE49-F238E27FC236}">
              <a16:creationId xmlns:a16="http://schemas.microsoft.com/office/drawing/2014/main" id="{17CBEC3E-71FB-4548-A444-7F1EA627E461}"/>
            </a:ext>
          </a:extLst>
        </xdr:cNvPr>
        <xdr:cNvSpPr>
          <a:spLocks noChangeAspect="1" noChangeArrowheads="1"/>
        </xdr:cNvSpPr>
      </xdr:nvSpPr>
      <xdr:spPr bwMode="auto">
        <a:xfrm>
          <a:off x="906780" y="4617720"/>
          <a:ext cx="305846"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29</xdr:col>
      <xdr:colOff>0</xdr:colOff>
      <xdr:row>11</xdr:row>
      <xdr:rowOff>0</xdr:rowOff>
    </xdr:from>
    <xdr:ext cx="306279" cy="308532"/>
    <xdr:sp macro="" textlink="">
      <xdr:nvSpPr>
        <xdr:cNvPr id="6" name="AutoShape 1" descr="asian paints colour ideas - TikTok Shop">
          <a:extLst>
            <a:ext uri="{FF2B5EF4-FFF2-40B4-BE49-F238E27FC236}">
              <a16:creationId xmlns:a16="http://schemas.microsoft.com/office/drawing/2014/main" id="{A309FAAC-6F21-4D5A-BCB0-882B641D08A1}"/>
            </a:ext>
          </a:extLst>
        </xdr:cNvPr>
        <xdr:cNvSpPr>
          <a:spLocks noChangeAspect="1" noChangeArrowheads="1"/>
        </xdr:cNvSpPr>
      </xdr:nvSpPr>
      <xdr:spPr bwMode="auto">
        <a:xfrm>
          <a:off x="0" y="0"/>
          <a:ext cx="306279" cy="308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10</xdr:col>
      <xdr:colOff>725675</xdr:colOff>
      <xdr:row>1</xdr:row>
      <xdr:rowOff>0</xdr:rowOff>
    </xdr:from>
    <xdr:to>
      <xdr:col>11</xdr:col>
      <xdr:colOff>648532</xdr:colOff>
      <xdr:row>2</xdr:row>
      <xdr:rowOff>44135</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0E1C6702-D7D8-47E1-B29E-735F488B44E8}"/>
            </a:ext>
          </a:extLst>
        </xdr:cNvPr>
        <xdr:cNvSpPr/>
      </xdr:nvSpPr>
      <xdr:spPr>
        <a:xfrm>
          <a:off x="6357849" y="187739"/>
          <a:ext cx="949900" cy="23187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Valuation-FCFF</a:t>
          </a:r>
        </a:p>
      </xdr:txBody>
    </xdr:sp>
    <xdr:clientData/>
  </xdr:twoCellAnchor>
  <xdr:twoCellAnchor>
    <xdr:from>
      <xdr:col>11</xdr:col>
      <xdr:colOff>675771</xdr:colOff>
      <xdr:row>1</xdr:row>
      <xdr:rowOff>0</xdr:rowOff>
    </xdr:from>
    <xdr:to>
      <xdr:col>12</xdr:col>
      <xdr:colOff>700076</xdr:colOff>
      <xdr:row>2</xdr:row>
      <xdr:rowOff>44135</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D17E8640-E7FF-477F-9FCE-DBF68046D198}"/>
            </a:ext>
          </a:extLst>
        </xdr:cNvPr>
        <xdr:cNvSpPr/>
      </xdr:nvSpPr>
      <xdr:spPr>
        <a:xfrm>
          <a:off x="7334988" y="187739"/>
          <a:ext cx="1051349" cy="23187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Sensitivity Analysis</a:t>
          </a:r>
        </a:p>
      </xdr:txBody>
    </xdr:sp>
    <xdr:clientData/>
  </xdr:twoCellAnchor>
  <xdr:twoCellAnchor>
    <xdr:from>
      <xdr:col>12</xdr:col>
      <xdr:colOff>727315</xdr:colOff>
      <xdr:row>1</xdr:row>
      <xdr:rowOff>0</xdr:rowOff>
    </xdr:from>
    <xdr:to>
      <xdr:col>13</xdr:col>
      <xdr:colOff>149526</xdr:colOff>
      <xdr:row>2</xdr:row>
      <xdr:rowOff>45044</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54C28633-1E47-4A8B-8659-30BDE58B8122}"/>
            </a:ext>
          </a:extLst>
        </xdr:cNvPr>
        <xdr:cNvSpPr/>
      </xdr:nvSpPr>
      <xdr:spPr>
        <a:xfrm>
          <a:off x="8413576" y="187739"/>
          <a:ext cx="449254" cy="232783"/>
        </a:xfrm>
        <a:prstGeom prst="roundRect">
          <a:avLst/>
        </a:prstGeom>
        <a:solidFill>
          <a:schemeClr val="accent1">
            <a:lumMod val="75000"/>
          </a:schemeClr>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SOFP</a:t>
          </a:r>
        </a:p>
      </xdr:txBody>
    </xdr:sp>
    <xdr:clientData/>
  </xdr:twoCellAnchor>
  <xdr:twoCellAnchor>
    <xdr:from>
      <xdr:col>13</xdr:col>
      <xdr:colOff>178102</xdr:colOff>
      <xdr:row>1</xdr:row>
      <xdr:rowOff>0</xdr:rowOff>
    </xdr:from>
    <xdr:to>
      <xdr:col>13</xdr:col>
      <xdr:colOff>614955</xdr:colOff>
      <xdr:row>2</xdr:row>
      <xdr:rowOff>45044</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F784258F-E236-45D0-8785-D8BA75FA24F9}"/>
            </a:ext>
          </a:extLst>
        </xdr:cNvPr>
        <xdr:cNvSpPr/>
      </xdr:nvSpPr>
      <xdr:spPr>
        <a:xfrm>
          <a:off x="8891406" y="187739"/>
          <a:ext cx="436853"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SOPL</a:t>
          </a:r>
        </a:p>
      </xdr:txBody>
    </xdr:sp>
    <xdr:clientData/>
  </xdr:twoCellAnchor>
  <xdr:twoCellAnchor>
    <xdr:from>
      <xdr:col>13</xdr:col>
      <xdr:colOff>642194</xdr:colOff>
      <xdr:row>1</xdr:row>
      <xdr:rowOff>0</xdr:rowOff>
    </xdr:from>
    <xdr:to>
      <xdr:col>14</xdr:col>
      <xdr:colOff>63267</xdr:colOff>
      <xdr:row>2</xdr:row>
      <xdr:rowOff>45044</xdr:rowOff>
    </xdr:to>
    <xdr:sp macro="" textlink="">
      <xdr:nvSpPr>
        <xdr:cNvPr id="9" name="Rectangle: Rounded Corners 8">
          <a:hlinkClick xmlns:r="http://schemas.openxmlformats.org/officeDocument/2006/relationships" r:id="rId6"/>
          <a:extLst>
            <a:ext uri="{FF2B5EF4-FFF2-40B4-BE49-F238E27FC236}">
              <a16:creationId xmlns:a16="http://schemas.microsoft.com/office/drawing/2014/main" id="{8284E127-20BA-430E-BA6B-BBDB31CB5CA6}"/>
            </a:ext>
          </a:extLst>
        </xdr:cNvPr>
        <xdr:cNvSpPr/>
      </xdr:nvSpPr>
      <xdr:spPr>
        <a:xfrm>
          <a:off x="9355498" y="187739"/>
          <a:ext cx="448117"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SOCF</a:t>
          </a:r>
        </a:p>
      </xdr:txBody>
    </xdr:sp>
    <xdr:clientData/>
  </xdr:twoCellAnchor>
  <xdr:twoCellAnchor>
    <xdr:from>
      <xdr:col>14</xdr:col>
      <xdr:colOff>90506</xdr:colOff>
      <xdr:row>1</xdr:row>
      <xdr:rowOff>0</xdr:rowOff>
    </xdr:from>
    <xdr:to>
      <xdr:col>14</xdr:col>
      <xdr:colOff>711866</xdr:colOff>
      <xdr:row>2</xdr:row>
      <xdr:rowOff>45044</xdr:rowOff>
    </xdr:to>
    <xdr:sp macro="" textlink="">
      <xdr:nvSpPr>
        <xdr:cNvPr id="10" name="Rectangle: Rounded Corners 9">
          <a:hlinkClick xmlns:r="http://schemas.openxmlformats.org/officeDocument/2006/relationships" r:id="rId7"/>
          <a:extLst>
            <a:ext uri="{FF2B5EF4-FFF2-40B4-BE49-F238E27FC236}">
              <a16:creationId xmlns:a16="http://schemas.microsoft.com/office/drawing/2014/main" id="{9E0C9A50-C79B-410D-89A6-1E2971737588}"/>
            </a:ext>
          </a:extLst>
        </xdr:cNvPr>
        <xdr:cNvSpPr/>
      </xdr:nvSpPr>
      <xdr:spPr>
        <a:xfrm>
          <a:off x="9830854" y="187739"/>
          <a:ext cx="621360"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Schedule</a:t>
          </a:r>
        </a:p>
      </xdr:txBody>
    </xdr:sp>
    <xdr:clientData/>
  </xdr:twoCellAnchor>
  <xdr:twoCellAnchor>
    <xdr:from>
      <xdr:col>14</xdr:col>
      <xdr:colOff>739105</xdr:colOff>
      <xdr:row>1</xdr:row>
      <xdr:rowOff>0</xdr:rowOff>
    </xdr:from>
    <xdr:to>
      <xdr:col>15</xdr:col>
      <xdr:colOff>542626</xdr:colOff>
      <xdr:row>2</xdr:row>
      <xdr:rowOff>45044</xdr:rowOff>
    </xdr:to>
    <xdr:sp macro="" textlink="">
      <xdr:nvSpPr>
        <xdr:cNvPr id="11" name="Rectangle: Rounded Corners 10">
          <a:hlinkClick xmlns:r="http://schemas.openxmlformats.org/officeDocument/2006/relationships" r:id="rId8"/>
          <a:extLst>
            <a:ext uri="{FF2B5EF4-FFF2-40B4-BE49-F238E27FC236}">
              <a16:creationId xmlns:a16="http://schemas.microsoft.com/office/drawing/2014/main" id="{5EE8F0A1-338E-4478-A307-B491D8CBCA71}"/>
            </a:ext>
          </a:extLst>
        </xdr:cNvPr>
        <xdr:cNvSpPr/>
      </xdr:nvSpPr>
      <xdr:spPr>
        <a:xfrm>
          <a:off x="10479453" y="187739"/>
          <a:ext cx="830564"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Ratio Analysis</a:t>
          </a:r>
        </a:p>
      </xdr:txBody>
    </xdr:sp>
    <xdr:clientData/>
  </xdr:twoCellAnchor>
  <xdr:twoCellAnchor>
    <xdr:from>
      <xdr:col>15</xdr:col>
      <xdr:colOff>569865</xdr:colOff>
      <xdr:row>1</xdr:row>
      <xdr:rowOff>0</xdr:rowOff>
    </xdr:from>
    <xdr:to>
      <xdr:col>16</xdr:col>
      <xdr:colOff>773780</xdr:colOff>
      <xdr:row>2</xdr:row>
      <xdr:rowOff>45044</xdr:rowOff>
    </xdr:to>
    <xdr:sp macro="" textlink="">
      <xdr:nvSpPr>
        <xdr:cNvPr id="12" name="Rectangle: Rounded Corners 11">
          <a:hlinkClick xmlns:r="http://schemas.openxmlformats.org/officeDocument/2006/relationships" r:id="rId9"/>
          <a:extLst>
            <a:ext uri="{FF2B5EF4-FFF2-40B4-BE49-F238E27FC236}">
              <a16:creationId xmlns:a16="http://schemas.microsoft.com/office/drawing/2014/main" id="{3FDDD649-911C-4690-A351-C3DBD25A2FA0}"/>
            </a:ext>
          </a:extLst>
        </xdr:cNvPr>
        <xdr:cNvSpPr/>
      </xdr:nvSpPr>
      <xdr:spPr>
        <a:xfrm>
          <a:off x="11337256" y="187739"/>
          <a:ext cx="1230959"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Common-Size Analysis</a:t>
          </a:r>
        </a:p>
      </xdr:txBody>
    </xdr:sp>
    <xdr:clientData/>
  </xdr:twoCellAnchor>
  <xdr:twoCellAnchor>
    <xdr:from>
      <xdr:col>16</xdr:col>
      <xdr:colOff>801017</xdr:colOff>
      <xdr:row>1</xdr:row>
      <xdr:rowOff>1594</xdr:rowOff>
    </xdr:from>
    <xdr:to>
      <xdr:col>17</xdr:col>
      <xdr:colOff>948506</xdr:colOff>
      <xdr:row>2</xdr:row>
      <xdr:rowOff>47049</xdr:rowOff>
    </xdr:to>
    <xdr:sp macro="" textlink="">
      <xdr:nvSpPr>
        <xdr:cNvPr id="13" name="Rectangle: Rounded Corners 12">
          <a:hlinkClick xmlns:r="http://schemas.openxmlformats.org/officeDocument/2006/relationships" r:id="rId10"/>
          <a:extLst>
            <a:ext uri="{FF2B5EF4-FFF2-40B4-BE49-F238E27FC236}">
              <a16:creationId xmlns:a16="http://schemas.microsoft.com/office/drawing/2014/main" id="{0301AE9E-B98F-406D-8EE4-CD6C9E46D6DA}"/>
            </a:ext>
          </a:extLst>
        </xdr:cNvPr>
        <xdr:cNvSpPr/>
      </xdr:nvSpPr>
      <xdr:spPr>
        <a:xfrm>
          <a:off x="12595452" y="189333"/>
          <a:ext cx="1174532" cy="23319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Comparative</a:t>
          </a:r>
          <a:r>
            <a:rPr lang="en-IN" sz="900" b="1" baseline="0">
              <a:latin typeface="+mj-lt"/>
              <a:cs typeface="Segoe UI" panose="020B0502040204020203" pitchFamily="34" charset="0"/>
            </a:rPr>
            <a:t> Analysis</a:t>
          </a:r>
          <a:endParaRPr lang="en-IN" sz="900" b="1">
            <a:latin typeface="+mj-lt"/>
            <a:cs typeface="Segoe UI" panose="020B0502040204020203" pitchFamily="34" charset="0"/>
          </a:endParaRPr>
        </a:p>
      </xdr:txBody>
    </xdr:sp>
    <xdr:clientData/>
  </xdr:twoCellAnchor>
  <xdr:twoCellAnchor>
    <xdr:from>
      <xdr:col>10</xdr:col>
      <xdr:colOff>0</xdr:colOff>
      <xdr:row>1</xdr:row>
      <xdr:rowOff>0</xdr:rowOff>
    </xdr:from>
    <xdr:to>
      <xdr:col>10</xdr:col>
      <xdr:colOff>698436</xdr:colOff>
      <xdr:row>2</xdr:row>
      <xdr:rowOff>45045</xdr:rowOff>
    </xdr:to>
    <xdr:sp macro="" textlink="">
      <xdr:nvSpPr>
        <xdr:cNvPr id="14" name="Rectangle: Rounded Corners 13">
          <a:hlinkClick xmlns:r="http://schemas.openxmlformats.org/officeDocument/2006/relationships" r:id="rId11"/>
          <a:extLst>
            <a:ext uri="{FF2B5EF4-FFF2-40B4-BE49-F238E27FC236}">
              <a16:creationId xmlns:a16="http://schemas.microsoft.com/office/drawing/2014/main" id="{CCA49505-D92F-4AAA-8941-58189FB0795E}"/>
            </a:ext>
          </a:extLst>
        </xdr:cNvPr>
        <xdr:cNvSpPr/>
      </xdr:nvSpPr>
      <xdr:spPr>
        <a:xfrm>
          <a:off x="5632174" y="187739"/>
          <a:ext cx="698436" cy="23278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Dashboard</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0</xdr:colOff>
      <xdr:row>25</xdr:row>
      <xdr:rowOff>0</xdr:rowOff>
    </xdr:from>
    <xdr:to>
      <xdr:col>5</xdr:col>
      <xdr:colOff>252506</xdr:colOff>
      <xdr:row>26</xdr:row>
      <xdr:rowOff>121921</xdr:rowOff>
    </xdr:to>
    <xdr:sp macro="" textlink="">
      <xdr:nvSpPr>
        <xdr:cNvPr id="2050" name="AutoShape 2" descr="asian paints colour ideas - TikTok Shop">
          <a:extLst>
            <a:ext uri="{FF2B5EF4-FFF2-40B4-BE49-F238E27FC236}">
              <a16:creationId xmlns:a16="http://schemas.microsoft.com/office/drawing/2014/main" id="{BF048B71-ADD8-A8F3-1C35-C976B652CFAC}"/>
            </a:ext>
          </a:extLst>
        </xdr:cNvPr>
        <xdr:cNvSpPr>
          <a:spLocks noChangeAspect="1" noChangeArrowheads="1"/>
        </xdr:cNvSpPr>
      </xdr:nvSpPr>
      <xdr:spPr bwMode="auto">
        <a:xfrm>
          <a:off x="2438400" y="2377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8561</xdr:colOff>
      <xdr:row>0</xdr:row>
      <xdr:rowOff>94035</xdr:rowOff>
    </xdr:from>
    <xdr:to>
      <xdr:col>5</xdr:col>
      <xdr:colOff>218872</xdr:colOff>
      <xdr:row>4</xdr:row>
      <xdr:rowOff>184314</xdr:rowOff>
    </xdr:to>
    <xdr:pic>
      <xdr:nvPicPr>
        <xdr:cNvPr id="3" name="Picture 2">
          <a:extLst>
            <a:ext uri="{FF2B5EF4-FFF2-40B4-BE49-F238E27FC236}">
              <a16:creationId xmlns:a16="http://schemas.microsoft.com/office/drawing/2014/main" id="{74C1BE82-7536-1D08-977E-34046CB78B35}"/>
            </a:ext>
          </a:extLst>
        </xdr:cNvPr>
        <xdr:cNvPicPr>
          <a:picLocks noChangeAspect="1"/>
        </xdr:cNvPicPr>
      </xdr:nvPicPr>
      <xdr:blipFill>
        <a:blip xmlns:r="http://schemas.openxmlformats.org/officeDocument/2006/relationships" r:embed="rId1"/>
        <a:stretch>
          <a:fillRect/>
        </a:stretch>
      </xdr:blipFill>
      <xdr:spPr>
        <a:xfrm>
          <a:off x="196451" y="94035"/>
          <a:ext cx="972311" cy="883594"/>
        </a:xfrm>
        <a:prstGeom prst="rect">
          <a:avLst/>
        </a:prstGeom>
      </xdr:spPr>
    </xdr:pic>
    <xdr:clientData/>
  </xdr:twoCellAnchor>
  <xdr:twoCellAnchor>
    <xdr:from>
      <xdr:col>19</xdr:col>
      <xdr:colOff>55349</xdr:colOff>
      <xdr:row>7</xdr:row>
      <xdr:rowOff>4643</xdr:rowOff>
    </xdr:from>
    <xdr:to>
      <xdr:col>26</xdr:col>
      <xdr:colOff>606335</xdr:colOff>
      <xdr:row>20</xdr:row>
      <xdr:rowOff>173182</xdr:rowOff>
    </xdr:to>
    <xdr:graphicFrame macro="">
      <xdr:nvGraphicFramePr>
        <xdr:cNvPr id="5" name="Chart 4">
          <a:extLst>
            <a:ext uri="{FF2B5EF4-FFF2-40B4-BE49-F238E27FC236}">
              <a16:creationId xmlns:a16="http://schemas.microsoft.com/office/drawing/2014/main" id="{D1D26663-852F-65C4-4D0D-7B75329AC3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50644</xdr:colOff>
      <xdr:row>21</xdr:row>
      <xdr:rowOff>57727</xdr:rowOff>
    </xdr:from>
    <xdr:to>
      <xdr:col>26</xdr:col>
      <xdr:colOff>596566</xdr:colOff>
      <xdr:row>35</xdr:row>
      <xdr:rowOff>2325</xdr:rowOff>
    </xdr:to>
    <xdr:graphicFrame macro="">
      <xdr:nvGraphicFramePr>
        <xdr:cNvPr id="7" name="Chart 6">
          <a:extLst>
            <a:ext uri="{FF2B5EF4-FFF2-40B4-BE49-F238E27FC236}">
              <a16:creationId xmlns:a16="http://schemas.microsoft.com/office/drawing/2014/main" id="{04AB0CFD-3ABC-B144-D9CF-E3A647DA0A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44598</xdr:colOff>
      <xdr:row>39</xdr:row>
      <xdr:rowOff>5483</xdr:rowOff>
    </xdr:from>
    <xdr:to>
      <xdr:col>27</xdr:col>
      <xdr:colOff>0</xdr:colOff>
      <xdr:row>54</xdr:row>
      <xdr:rowOff>1</xdr:rowOff>
    </xdr:to>
    <xdr:graphicFrame macro="">
      <xdr:nvGraphicFramePr>
        <xdr:cNvPr id="2" name="Chart 1">
          <a:extLst>
            <a:ext uri="{FF2B5EF4-FFF2-40B4-BE49-F238E27FC236}">
              <a16:creationId xmlns:a16="http://schemas.microsoft.com/office/drawing/2014/main" id="{46A2F232-D45C-63FF-B4EB-41ED088D76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4</xdr:col>
      <xdr:colOff>0</xdr:colOff>
      <xdr:row>25</xdr:row>
      <xdr:rowOff>0</xdr:rowOff>
    </xdr:from>
    <xdr:ext cx="306934" cy="298814"/>
    <xdr:sp macro="" textlink="">
      <xdr:nvSpPr>
        <xdr:cNvPr id="4" name="AutoShape 2" descr="asian paints colour ideas - TikTok Shop">
          <a:extLst>
            <a:ext uri="{FF2B5EF4-FFF2-40B4-BE49-F238E27FC236}">
              <a16:creationId xmlns:a16="http://schemas.microsoft.com/office/drawing/2014/main" id="{D9EAC512-0AA3-495E-B12B-E716D979D4CC}"/>
            </a:ext>
          </a:extLst>
        </xdr:cNvPr>
        <xdr:cNvSpPr>
          <a:spLocks noChangeAspect="1" noChangeArrowheads="1"/>
        </xdr:cNvSpPr>
      </xdr:nvSpPr>
      <xdr:spPr bwMode="auto">
        <a:xfrm>
          <a:off x="911679" y="4599214"/>
          <a:ext cx="306934" cy="2988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10</xdr:col>
      <xdr:colOff>725675</xdr:colOff>
      <xdr:row>1</xdr:row>
      <xdr:rowOff>0</xdr:rowOff>
    </xdr:from>
    <xdr:to>
      <xdr:col>11</xdr:col>
      <xdr:colOff>547420</xdr:colOff>
      <xdr:row>2</xdr:row>
      <xdr:rowOff>51468</xdr:rowOff>
    </xdr:to>
    <xdr:sp macro="" textlink="">
      <xdr:nvSpPr>
        <xdr:cNvPr id="17" name="Rectangle: Rounded Corners 16">
          <a:hlinkClick xmlns:r="http://schemas.openxmlformats.org/officeDocument/2006/relationships" r:id="rId5"/>
          <a:extLst>
            <a:ext uri="{FF2B5EF4-FFF2-40B4-BE49-F238E27FC236}">
              <a16:creationId xmlns:a16="http://schemas.microsoft.com/office/drawing/2014/main" id="{F0EE7AE0-4535-471B-8EB0-F6DC844E9B27}"/>
            </a:ext>
          </a:extLst>
        </xdr:cNvPr>
        <xdr:cNvSpPr/>
      </xdr:nvSpPr>
      <xdr:spPr>
        <a:xfrm>
          <a:off x="6518224" y="182071"/>
          <a:ext cx="947886" cy="233539"/>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Valuation-FCFF</a:t>
          </a:r>
        </a:p>
      </xdr:txBody>
    </xdr:sp>
    <xdr:clientData/>
  </xdr:twoCellAnchor>
  <xdr:twoCellAnchor>
    <xdr:from>
      <xdr:col>11</xdr:col>
      <xdr:colOff>574659</xdr:colOff>
      <xdr:row>1</xdr:row>
      <xdr:rowOff>0</xdr:rowOff>
    </xdr:from>
    <xdr:to>
      <xdr:col>12</xdr:col>
      <xdr:colOff>497851</xdr:colOff>
      <xdr:row>2</xdr:row>
      <xdr:rowOff>51468</xdr:rowOff>
    </xdr:to>
    <xdr:sp macro="" textlink="">
      <xdr:nvSpPr>
        <xdr:cNvPr id="18" name="Rectangle: Rounded Corners 17">
          <a:hlinkClick xmlns:r="http://schemas.openxmlformats.org/officeDocument/2006/relationships" r:id="rId6"/>
          <a:extLst>
            <a:ext uri="{FF2B5EF4-FFF2-40B4-BE49-F238E27FC236}">
              <a16:creationId xmlns:a16="http://schemas.microsoft.com/office/drawing/2014/main" id="{66A5E03F-22F6-440E-8277-98A137536475}"/>
            </a:ext>
          </a:extLst>
        </xdr:cNvPr>
        <xdr:cNvSpPr/>
      </xdr:nvSpPr>
      <xdr:spPr>
        <a:xfrm>
          <a:off x="7493349" y="182071"/>
          <a:ext cx="1049334" cy="233539"/>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Sensitivity Analysis</a:t>
          </a:r>
        </a:p>
      </xdr:txBody>
    </xdr:sp>
    <xdr:clientData/>
  </xdr:twoCellAnchor>
  <xdr:twoCellAnchor>
    <xdr:from>
      <xdr:col>12</xdr:col>
      <xdr:colOff>525090</xdr:colOff>
      <xdr:row>1</xdr:row>
      <xdr:rowOff>0</xdr:rowOff>
    </xdr:from>
    <xdr:to>
      <xdr:col>12</xdr:col>
      <xdr:colOff>974344</xdr:colOff>
      <xdr:row>2</xdr:row>
      <xdr:rowOff>52377</xdr:rowOff>
    </xdr:to>
    <xdr:sp macro="" textlink="">
      <xdr:nvSpPr>
        <xdr:cNvPr id="19" name="Rectangle: Rounded Corners 18">
          <a:hlinkClick xmlns:r="http://schemas.openxmlformats.org/officeDocument/2006/relationships" r:id="rId7"/>
          <a:extLst>
            <a:ext uri="{FF2B5EF4-FFF2-40B4-BE49-F238E27FC236}">
              <a16:creationId xmlns:a16="http://schemas.microsoft.com/office/drawing/2014/main" id="{9C16256F-A21C-4D62-A004-46A89F604BC1}"/>
            </a:ext>
          </a:extLst>
        </xdr:cNvPr>
        <xdr:cNvSpPr/>
      </xdr:nvSpPr>
      <xdr:spPr>
        <a:xfrm>
          <a:off x="8569922" y="182071"/>
          <a:ext cx="449254" cy="234448"/>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SOFP</a:t>
          </a:r>
        </a:p>
      </xdr:txBody>
    </xdr:sp>
    <xdr:clientData/>
  </xdr:twoCellAnchor>
  <xdr:twoCellAnchor>
    <xdr:from>
      <xdr:col>12</xdr:col>
      <xdr:colOff>1002920</xdr:colOff>
      <xdr:row>1</xdr:row>
      <xdr:rowOff>0</xdr:rowOff>
    </xdr:from>
    <xdr:to>
      <xdr:col>13</xdr:col>
      <xdr:colOff>311618</xdr:colOff>
      <xdr:row>2</xdr:row>
      <xdr:rowOff>52377</xdr:rowOff>
    </xdr:to>
    <xdr:sp macro="" textlink="">
      <xdr:nvSpPr>
        <xdr:cNvPr id="20" name="Rectangle: Rounded Corners 19">
          <a:hlinkClick xmlns:r="http://schemas.openxmlformats.org/officeDocument/2006/relationships" r:id="rId8"/>
          <a:extLst>
            <a:ext uri="{FF2B5EF4-FFF2-40B4-BE49-F238E27FC236}">
              <a16:creationId xmlns:a16="http://schemas.microsoft.com/office/drawing/2014/main" id="{57439AA4-2A2E-469E-A8F4-977174216E56}"/>
            </a:ext>
          </a:extLst>
        </xdr:cNvPr>
        <xdr:cNvSpPr/>
      </xdr:nvSpPr>
      <xdr:spPr>
        <a:xfrm>
          <a:off x="9047752" y="182071"/>
          <a:ext cx="434839" cy="234448"/>
        </a:xfrm>
        <a:prstGeom prst="roundRect">
          <a:avLst/>
        </a:prstGeom>
        <a:solidFill>
          <a:schemeClr val="accent1">
            <a:lumMod val="75000"/>
          </a:schemeClr>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SOPL</a:t>
          </a:r>
        </a:p>
      </xdr:txBody>
    </xdr:sp>
    <xdr:clientData/>
  </xdr:twoCellAnchor>
  <xdr:twoCellAnchor>
    <xdr:from>
      <xdr:col>13</xdr:col>
      <xdr:colOff>338857</xdr:colOff>
      <xdr:row>1</xdr:row>
      <xdr:rowOff>0</xdr:rowOff>
    </xdr:from>
    <xdr:to>
      <xdr:col>13</xdr:col>
      <xdr:colOff>786974</xdr:colOff>
      <xdr:row>2</xdr:row>
      <xdr:rowOff>52377</xdr:rowOff>
    </xdr:to>
    <xdr:sp macro="" textlink="">
      <xdr:nvSpPr>
        <xdr:cNvPr id="21" name="Rectangle: Rounded Corners 20">
          <a:hlinkClick xmlns:r="http://schemas.openxmlformats.org/officeDocument/2006/relationships" r:id="rId9"/>
          <a:extLst>
            <a:ext uri="{FF2B5EF4-FFF2-40B4-BE49-F238E27FC236}">
              <a16:creationId xmlns:a16="http://schemas.microsoft.com/office/drawing/2014/main" id="{A2371BD2-DC68-4E47-AD53-93C3599E1B69}"/>
            </a:ext>
          </a:extLst>
        </xdr:cNvPr>
        <xdr:cNvSpPr/>
      </xdr:nvSpPr>
      <xdr:spPr>
        <a:xfrm>
          <a:off x="9509830" y="182071"/>
          <a:ext cx="448117" cy="234448"/>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SOCF</a:t>
          </a:r>
        </a:p>
      </xdr:txBody>
    </xdr:sp>
    <xdr:clientData/>
  </xdr:twoCellAnchor>
  <xdr:twoCellAnchor>
    <xdr:from>
      <xdr:col>13</xdr:col>
      <xdr:colOff>814213</xdr:colOff>
      <xdr:row>1</xdr:row>
      <xdr:rowOff>0</xdr:rowOff>
    </xdr:from>
    <xdr:to>
      <xdr:col>14</xdr:col>
      <xdr:colOff>307416</xdr:colOff>
      <xdr:row>2</xdr:row>
      <xdr:rowOff>52377</xdr:rowOff>
    </xdr:to>
    <xdr:sp macro="" textlink="">
      <xdr:nvSpPr>
        <xdr:cNvPr id="22" name="Rectangle: Rounded Corners 21">
          <a:hlinkClick xmlns:r="http://schemas.openxmlformats.org/officeDocument/2006/relationships" r:id="rId10"/>
          <a:extLst>
            <a:ext uri="{FF2B5EF4-FFF2-40B4-BE49-F238E27FC236}">
              <a16:creationId xmlns:a16="http://schemas.microsoft.com/office/drawing/2014/main" id="{4C12982B-6880-4C99-B00F-450485C50DA0}"/>
            </a:ext>
          </a:extLst>
        </xdr:cNvPr>
        <xdr:cNvSpPr/>
      </xdr:nvSpPr>
      <xdr:spPr>
        <a:xfrm>
          <a:off x="9985186" y="182071"/>
          <a:ext cx="619345" cy="234448"/>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Schedule</a:t>
          </a:r>
        </a:p>
      </xdr:txBody>
    </xdr:sp>
    <xdr:clientData/>
  </xdr:twoCellAnchor>
  <xdr:twoCellAnchor>
    <xdr:from>
      <xdr:col>14</xdr:col>
      <xdr:colOff>334655</xdr:colOff>
      <xdr:row>1</xdr:row>
      <xdr:rowOff>0</xdr:rowOff>
    </xdr:from>
    <xdr:to>
      <xdr:col>15</xdr:col>
      <xdr:colOff>37064</xdr:colOff>
      <xdr:row>2</xdr:row>
      <xdr:rowOff>52377</xdr:rowOff>
    </xdr:to>
    <xdr:sp macro="" textlink="">
      <xdr:nvSpPr>
        <xdr:cNvPr id="23" name="Rectangle: Rounded Corners 22">
          <a:hlinkClick xmlns:r="http://schemas.openxmlformats.org/officeDocument/2006/relationships" r:id="rId11"/>
          <a:extLst>
            <a:ext uri="{FF2B5EF4-FFF2-40B4-BE49-F238E27FC236}">
              <a16:creationId xmlns:a16="http://schemas.microsoft.com/office/drawing/2014/main" id="{771C1922-33C7-482F-895D-6A9F0F2FAC09}"/>
            </a:ext>
          </a:extLst>
        </xdr:cNvPr>
        <xdr:cNvSpPr/>
      </xdr:nvSpPr>
      <xdr:spPr>
        <a:xfrm>
          <a:off x="10631770" y="182071"/>
          <a:ext cx="828551" cy="234448"/>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Ratio Analysis</a:t>
          </a:r>
        </a:p>
      </xdr:txBody>
    </xdr:sp>
    <xdr:clientData/>
  </xdr:twoCellAnchor>
  <xdr:twoCellAnchor>
    <xdr:from>
      <xdr:col>15</xdr:col>
      <xdr:colOff>64303</xdr:colOff>
      <xdr:row>1</xdr:row>
      <xdr:rowOff>0</xdr:rowOff>
    </xdr:from>
    <xdr:to>
      <xdr:col>16</xdr:col>
      <xdr:colOff>167107</xdr:colOff>
      <xdr:row>2</xdr:row>
      <xdr:rowOff>52377</xdr:rowOff>
    </xdr:to>
    <xdr:sp macro="" textlink="">
      <xdr:nvSpPr>
        <xdr:cNvPr id="24" name="Rectangle: Rounded Corners 23">
          <a:hlinkClick xmlns:r="http://schemas.openxmlformats.org/officeDocument/2006/relationships" r:id="rId12"/>
          <a:extLst>
            <a:ext uri="{FF2B5EF4-FFF2-40B4-BE49-F238E27FC236}">
              <a16:creationId xmlns:a16="http://schemas.microsoft.com/office/drawing/2014/main" id="{14AF447A-37BE-4D08-BCF4-87D43E29F184}"/>
            </a:ext>
          </a:extLst>
        </xdr:cNvPr>
        <xdr:cNvSpPr/>
      </xdr:nvSpPr>
      <xdr:spPr>
        <a:xfrm>
          <a:off x="11487560" y="182071"/>
          <a:ext cx="1228945" cy="234448"/>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Common-Size Analysis</a:t>
          </a:r>
        </a:p>
      </xdr:txBody>
    </xdr:sp>
    <xdr:clientData/>
  </xdr:twoCellAnchor>
  <xdr:twoCellAnchor>
    <xdr:from>
      <xdr:col>16</xdr:col>
      <xdr:colOff>194344</xdr:colOff>
      <xdr:row>1</xdr:row>
      <xdr:rowOff>1594</xdr:rowOff>
    </xdr:from>
    <xdr:to>
      <xdr:col>17</xdr:col>
      <xdr:colOff>240719</xdr:colOff>
      <xdr:row>2</xdr:row>
      <xdr:rowOff>54382</xdr:rowOff>
    </xdr:to>
    <xdr:sp macro="" textlink="">
      <xdr:nvSpPr>
        <xdr:cNvPr id="25" name="Rectangle: Rounded Corners 24">
          <a:hlinkClick xmlns:r="http://schemas.openxmlformats.org/officeDocument/2006/relationships" r:id="rId13"/>
          <a:extLst>
            <a:ext uri="{FF2B5EF4-FFF2-40B4-BE49-F238E27FC236}">
              <a16:creationId xmlns:a16="http://schemas.microsoft.com/office/drawing/2014/main" id="{C8C0A43B-8AEF-4C14-BD38-114883BB7B5A}"/>
            </a:ext>
          </a:extLst>
        </xdr:cNvPr>
        <xdr:cNvSpPr/>
      </xdr:nvSpPr>
      <xdr:spPr>
        <a:xfrm>
          <a:off x="12743742" y="183665"/>
          <a:ext cx="1172517" cy="234859"/>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Comparative</a:t>
          </a:r>
          <a:r>
            <a:rPr lang="en-IN" sz="900" b="1" baseline="0">
              <a:latin typeface="+mj-lt"/>
              <a:cs typeface="Segoe UI" panose="020B0502040204020203" pitchFamily="34" charset="0"/>
            </a:rPr>
            <a:t> Analysis</a:t>
          </a:r>
          <a:endParaRPr lang="en-IN" sz="900" b="1">
            <a:latin typeface="+mj-lt"/>
            <a:cs typeface="Segoe UI" panose="020B0502040204020203" pitchFamily="34" charset="0"/>
          </a:endParaRPr>
        </a:p>
      </xdr:txBody>
    </xdr:sp>
    <xdr:clientData/>
  </xdr:twoCellAnchor>
  <xdr:twoCellAnchor>
    <xdr:from>
      <xdr:col>10</xdr:col>
      <xdr:colOff>0</xdr:colOff>
      <xdr:row>1</xdr:row>
      <xdr:rowOff>0</xdr:rowOff>
    </xdr:from>
    <xdr:to>
      <xdr:col>10</xdr:col>
      <xdr:colOff>698436</xdr:colOff>
      <xdr:row>2</xdr:row>
      <xdr:rowOff>52378</xdr:rowOff>
    </xdr:to>
    <xdr:sp macro="" textlink="">
      <xdr:nvSpPr>
        <xdr:cNvPr id="26" name="Rectangle: Rounded Corners 25">
          <a:hlinkClick xmlns:r="http://schemas.openxmlformats.org/officeDocument/2006/relationships" r:id="rId14"/>
          <a:extLst>
            <a:ext uri="{FF2B5EF4-FFF2-40B4-BE49-F238E27FC236}">
              <a16:creationId xmlns:a16="http://schemas.microsoft.com/office/drawing/2014/main" id="{0276727E-C74A-476C-8F0D-6D0588A41DFF}"/>
            </a:ext>
          </a:extLst>
        </xdr:cNvPr>
        <xdr:cNvSpPr/>
      </xdr:nvSpPr>
      <xdr:spPr>
        <a:xfrm>
          <a:off x="5792549" y="182071"/>
          <a:ext cx="698436" cy="234449"/>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Dashboard</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8561</xdr:colOff>
      <xdr:row>0</xdr:row>
      <xdr:rowOff>76200</xdr:rowOff>
    </xdr:from>
    <xdr:to>
      <xdr:col>2</xdr:col>
      <xdr:colOff>378892</xdr:colOff>
      <xdr:row>4</xdr:row>
      <xdr:rowOff>214794</xdr:rowOff>
    </xdr:to>
    <xdr:pic>
      <xdr:nvPicPr>
        <xdr:cNvPr id="2" name="Picture 1">
          <a:extLst>
            <a:ext uri="{FF2B5EF4-FFF2-40B4-BE49-F238E27FC236}">
              <a16:creationId xmlns:a16="http://schemas.microsoft.com/office/drawing/2014/main" id="{0270C70B-0263-4610-BB3A-AF964B5727EC}"/>
            </a:ext>
          </a:extLst>
        </xdr:cNvPr>
        <xdr:cNvPicPr>
          <a:picLocks noChangeAspect="1"/>
        </xdr:cNvPicPr>
      </xdr:nvPicPr>
      <xdr:blipFill>
        <a:blip xmlns:r="http://schemas.openxmlformats.org/officeDocument/2006/relationships" r:embed="rId1"/>
        <a:stretch>
          <a:fillRect/>
        </a:stretch>
      </xdr:blipFill>
      <xdr:spPr>
        <a:xfrm>
          <a:off x="618161" y="76200"/>
          <a:ext cx="979931" cy="915834"/>
        </a:xfrm>
        <a:prstGeom prst="rect">
          <a:avLst/>
        </a:prstGeom>
      </xdr:spPr>
    </xdr:pic>
    <xdr:clientData/>
  </xdr:twoCellAnchor>
  <xdr:twoCellAnchor>
    <xdr:from>
      <xdr:col>10</xdr:col>
      <xdr:colOff>725675</xdr:colOff>
      <xdr:row>1</xdr:row>
      <xdr:rowOff>0</xdr:rowOff>
    </xdr:from>
    <xdr:to>
      <xdr:col>11</xdr:col>
      <xdr:colOff>652318</xdr:colOff>
      <xdr:row>2</xdr:row>
      <xdr:rowOff>46817</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D4635042-2419-4EFC-AAC9-6CF2B43F4768}"/>
            </a:ext>
          </a:extLst>
        </xdr:cNvPr>
        <xdr:cNvSpPr/>
      </xdr:nvSpPr>
      <xdr:spPr>
        <a:xfrm>
          <a:off x="6832561" y="185057"/>
          <a:ext cx="949900" cy="23187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Valuation-FCFF</a:t>
          </a:r>
        </a:p>
      </xdr:txBody>
    </xdr:sp>
    <xdr:clientData/>
  </xdr:twoCellAnchor>
  <xdr:twoCellAnchor>
    <xdr:from>
      <xdr:col>11</xdr:col>
      <xdr:colOff>679557</xdr:colOff>
      <xdr:row>1</xdr:row>
      <xdr:rowOff>0</xdr:rowOff>
    </xdr:from>
    <xdr:to>
      <xdr:col>12</xdr:col>
      <xdr:colOff>707649</xdr:colOff>
      <xdr:row>2</xdr:row>
      <xdr:rowOff>46817</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EB584AA0-2144-4E26-88E2-1BB260543997}"/>
            </a:ext>
          </a:extLst>
        </xdr:cNvPr>
        <xdr:cNvSpPr/>
      </xdr:nvSpPr>
      <xdr:spPr>
        <a:xfrm>
          <a:off x="7809700" y="185057"/>
          <a:ext cx="1051349" cy="23187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Sensitivity Analysis</a:t>
          </a:r>
        </a:p>
      </xdr:txBody>
    </xdr:sp>
    <xdr:clientData/>
  </xdr:twoCellAnchor>
  <xdr:twoCellAnchor>
    <xdr:from>
      <xdr:col>12</xdr:col>
      <xdr:colOff>734888</xdr:colOff>
      <xdr:row>1</xdr:row>
      <xdr:rowOff>0</xdr:rowOff>
    </xdr:from>
    <xdr:to>
      <xdr:col>13</xdr:col>
      <xdr:colOff>160885</xdr:colOff>
      <xdr:row>2</xdr:row>
      <xdr:rowOff>47726</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64DF990D-972B-4049-BAAA-5E06D406F746}"/>
            </a:ext>
          </a:extLst>
        </xdr:cNvPr>
        <xdr:cNvSpPr/>
      </xdr:nvSpPr>
      <xdr:spPr>
        <a:xfrm>
          <a:off x="8888288" y="185057"/>
          <a:ext cx="449254"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SOFP</a:t>
          </a:r>
        </a:p>
      </xdr:txBody>
    </xdr:sp>
    <xdr:clientData/>
  </xdr:twoCellAnchor>
  <xdr:twoCellAnchor>
    <xdr:from>
      <xdr:col>13</xdr:col>
      <xdr:colOff>189461</xdr:colOff>
      <xdr:row>1</xdr:row>
      <xdr:rowOff>0</xdr:rowOff>
    </xdr:from>
    <xdr:to>
      <xdr:col>13</xdr:col>
      <xdr:colOff>626314</xdr:colOff>
      <xdr:row>2</xdr:row>
      <xdr:rowOff>47726</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F9B8FC7C-A4F8-4CC4-902E-20D143A13171}"/>
            </a:ext>
          </a:extLst>
        </xdr:cNvPr>
        <xdr:cNvSpPr/>
      </xdr:nvSpPr>
      <xdr:spPr>
        <a:xfrm>
          <a:off x="9366118" y="185057"/>
          <a:ext cx="436853"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SOPL</a:t>
          </a:r>
        </a:p>
      </xdr:txBody>
    </xdr:sp>
    <xdr:clientData/>
  </xdr:twoCellAnchor>
  <xdr:twoCellAnchor>
    <xdr:from>
      <xdr:col>13</xdr:col>
      <xdr:colOff>653553</xdr:colOff>
      <xdr:row>1</xdr:row>
      <xdr:rowOff>0</xdr:rowOff>
    </xdr:from>
    <xdr:to>
      <xdr:col>14</xdr:col>
      <xdr:colOff>78413</xdr:colOff>
      <xdr:row>2</xdr:row>
      <xdr:rowOff>47726</xdr:rowOff>
    </xdr:to>
    <xdr:sp macro="" textlink="">
      <xdr:nvSpPr>
        <xdr:cNvPr id="7" name="Rectangle: Rounded Corners 6">
          <a:hlinkClick xmlns:r="http://schemas.openxmlformats.org/officeDocument/2006/relationships" r:id="rId6"/>
          <a:extLst>
            <a:ext uri="{FF2B5EF4-FFF2-40B4-BE49-F238E27FC236}">
              <a16:creationId xmlns:a16="http://schemas.microsoft.com/office/drawing/2014/main" id="{0E2E58E4-F045-43ED-98D3-AA335CCB3544}"/>
            </a:ext>
          </a:extLst>
        </xdr:cNvPr>
        <xdr:cNvSpPr/>
      </xdr:nvSpPr>
      <xdr:spPr>
        <a:xfrm>
          <a:off x="9830210" y="185057"/>
          <a:ext cx="448117" cy="232783"/>
        </a:xfrm>
        <a:prstGeom prst="roundRect">
          <a:avLst/>
        </a:prstGeom>
        <a:solidFill>
          <a:schemeClr val="accent1">
            <a:lumMod val="75000"/>
          </a:schemeClr>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SOCF</a:t>
          </a:r>
        </a:p>
      </xdr:txBody>
    </xdr:sp>
    <xdr:clientData/>
  </xdr:twoCellAnchor>
  <xdr:twoCellAnchor>
    <xdr:from>
      <xdr:col>14</xdr:col>
      <xdr:colOff>105652</xdr:colOff>
      <xdr:row>1</xdr:row>
      <xdr:rowOff>0</xdr:rowOff>
    </xdr:from>
    <xdr:to>
      <xdr:col>14</xdr:col>
      <xdr:colOff>727012</xdr:colOff>
      <xdr:row>2</xdr:row>
      <xdr:rowOff>47726</xdr:rowOff>
    </xdr:to>
    <xdr:sp macro="" textlink="">
      <xdr:nvSpPr>
        <xdr:cNvPr id="8" name="Rectangle: Rounded Corners 7">
          <a:hlinkClick xmlns:r="http://schemas.openxmlformats.org/officeDocument/2006/relationships" r:id="rId7"/>
          <a:extLst>
            <a:ext uri="{FF2B5EF4-FFF2-40B4-BE49-F238E27FC236}">
              <a16:creationId xmlns:a16="http://schemas.microsoft.com/office/drawing/2014/main" id="{84B99F05-70D5-404A-A7D4-57C12FED2898}"/>
            </a:ext>
          </a:extLst>
        </xdr:cNvPr>
        <xdr:cNvSpPr/>
      </xdr:nvSpPr>
      <xdr:spPr>
        <a:xfrm>
          <a:off x="10305566" y="185057"/>
          <a:ext cx="621360"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Schedule</a:t>
          </a:r>
        </a:p>
      </xdr:txBody>
    </xdr:sp>
    <xdr:clientData/>
  </xdr:twoCellAnchor>
  <xdr:twoCellAnchor>
    <xdr:from>
      <xdr:col>14</xdr:col>
      <xdr:colOff>754251</xdr:colOff>
      <xdr:row>1</xdr:row>
      <xdr:rowOff>0</xdr:rowOff>
    </xdr:from>
    <xdr:to>
      <xdr:col>15</xdr:col>
      <xdr:colOff>561558</xdr:colOff>
      <xdr:row>2</xdr:row>
      <xdr:rowOff>47726</xdr:rowOff>
    </xdr:to>
    <xdr:sp macro="" textlink="">
      <xdr:nvSpPr>
        <xdr:cNvPr id="9" name="Rectangle: Rounded Corners 8">
          <a:hlinkClick xmlns:r="http://schemas.openxmlformats.org/officeDocument/2006/relationships" r:id="rId8"/>
          <a:extLst>
            <a:ext uri="{FF2B5EF4-FFF2-40B4-BE49-F238E27FC236}">
              <a16:creationId xmlns:a16="http://schemas.microsoft.com/office/drawing/2014/main" id="{AA6F2CDA-5B8C-49F5-BDE3-3E530F671614}"/>
            </a:ext>
          </a:extLst>
        </xdr:cNvPr>
        <xdr:cNvSpPr/>
      </xdr:nvSpPr>
      <xdr:spPr>
        <a:xfrm>
          <a:off x="10954165" y="185057"/>
          <a:ext cx="830564"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Ratio Analysis</a:t>
          </a:r>
        </a:p>
      </xdr:txBody>
    </xdr:sp>
    <xdr:clientData/>
  </xdr:twoCellAnchor>
  <xdr:twoCellAnchor>
    <xdr:from>
      <xdr:col>15</xdr:col>
      <xdr:colOff>588797</xdr:colOff>
      <xdr:row>1</xdr:row>
      <xdr:rowOff>0</xdr:rowOff>
    </xdr:from>
    <xdr:to>
      <xdr:col>16</xdr:col>
      <xdr:colOff>796498</xdr:colOff>
      <xdr:row>2</xdr:row>
      <xdr:rowOff>47726</xdr:rowOff>
    </xdr:to>
    <xdr:sp macro="" textlink="">
      <xdr:nvSpPr>
        <xdr:cNvPr id="10" name="Rectangle: Rounded Corners 9">
          <a:hlinkClick xmlns:r="http://schemas.openxmlformats.org/officeDocument/2006/relationships" r:id="rId9"/>
          <a:extLst>
            <a:ext uri="{FF2B5EF4-FFF2-40B4-BE49-F238E27FC236}">
              <a16:creationId xmlns:a16="http://schemas.microsoft.com/office/drawing/2014/main" id="{DC50C9F5-48A3-48D6-93D0-E03F5FB2582B}"/>
            </a:ext>
          </a:extLst>
        </xdr:cNvPr>
        <xdr:cNvSpPr/>
      </xdr:nvSpPr>
      <xdr:spPr>
        <a:xfrm>
          <a:off x="11811968" y="185057"/>
          <a:ext cx="1230959"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Common-Size Analysis</a:t>
          </a:r>
        </a:p>
      </xdr:txBody>
    </xdr:sp>
    <xdr:clientData/>
  </xdr:twoCellAnchor>
  <xdr:twoCellAnchor>
    <xdr:from>
      <xdr:col>16</xdr:col>
      <xdr:colOff>823735</xdr:colOff>
      <xdr:row>1</xdr:row>
      <xdr:rowOff>1594</xdr:rowOff>
    </xdr:from>
    <xdr:to>
      <xdr:col>17</xdr:col>
      <xdr:colOff>975010</xdr:colOff>
      <xdr:row>2</xdr:row>
      <xdr:rowOff>49731</xdr:rowOff>
    </xdr:to>
    <xdr:sp macro="" textlink="">
      <xdr:nvSpPr>
        <xdr:cNvPr id="11" name="Rectangle: Rounded Corners 10">
          <a:hlinkClick xmlns:r="http://schemas.openxmlformats.org/officeDocument/2006/relationships" r:id="rId10"/>
          <a:extLst>
            <a:ext uri="{FF2B5EF4-FFF2-40B4-BE49-F238E27FC236}">
              <a16:creationId xmlns:a16="http://schemas.microsoft.com/office/drawing/2014/main" id="{4D570D4A-61FC-4149-9D8C-780EC516AB8E}"/>
            </a:ext>
          </a:extLst>
        </xdr:cNvPr>
        <xdr:cNvSpPr/>
      </xdr:nvSpPr>
      <xdr:spPr>
        <a:xfrm>
          <a:off x="13070164" y="186651"/>
          <a:ext cx="1174532" cy="23319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Comparative</a:t>
          </a:r>
          <a:r>
            <a:rPr lang="en-IN" sz="900" b="1" baseline="0">
              <a:latin typeface="+mj-lt"/>
              <a:cs typeface="Segoe UI" panose="020B0502040204020203" pitchFamily="34" charset="0"/>
            </a:rPr>
            <a:t> Analysis</a:t>
          </a:r>
          <a:endParaRPr lang="en-IN" sz="900" b="1">
            <a:latin typeface="+mj-lt"/>
            <a:cs typeface="Segoe UI" panose="020B0502040204020203" pitchFamily="34" charset="0"/>
          </a:endParaRPr>
        </a:p>
      </xdr:txBody>
    </xdr:sp>
    <xdr:clientData/>
  </xdr:twoCellAnchor>
  <xdr:twoCellAnchor>
    <xdr:from>
      <xdr:col>10</xdr:col>
      <xdr:colOff>0</xdr:colOff>
      <xdr:row>1</xdr:row>
      <xdr:rowOff>0</xdr:rowOff>
    </xdr:from>
    <xdr:to>
      <xdr:col>10</xdr:col>
      <xdr:colOff>698436</xdr:colOff>
      <xdr:row>2</xdr:row>
      <xdr:rowOff>47727</xdr:rowOff>
    </xdr:to>
    <xdr:sp macro="" textlink="">
      <xdr:nvSpPr>
        <xdr:cNvPr id="12" name="Rectangle: Rounded Corners 11">
          <a:hlinkClick xmlns:r="http://schemas.openxmlformats.org/officeDocument/2006/relationships" r:id="rId11"/>
          <a:extLst>
            <a:ext uri="{FF2B5EF4-FFF2-40B4-BE49-F238E27FC236}">
              <a16:creationId xmlns:a16="http://schemas.microsoft.com/office/drawing/2014/main" id="{A48D1CF0-CC4A-4BCE-A9C2-DE49D9DBFBBE}"/>
            </a:ext>
          </a:extLst>
        </xdr:cNvPr>
        <xdr:cNvSpPr/>
      </xdr:nvSpPr>
      <xdr:spPr>
        <a:xfrm>
          <a:off x="6106886" y="185057"/>
          <a:ext cx="698436" cy="23278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Dashboard</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96496</xdr:colOff>
      <xdr:row>1</xdr:row>
      <xdr:rowOff>121920</xdr:rowOff>
    </xdr:to>
    <xdr:sp macro="" textlink="">
      <xdr:nvSpPr>
        <xdr:cNvPr id="2" name="AutoShape 1" descr="asian paints colour ideas - TikTok Shop">
          <a:extLst>
            <a:ext uri="{FF2B5EF4-FFF2-40B4-BE49-F238E27FC236}">
              <a16:creationId xmlns:a16="http://schemas.microsoft.com/office/drawing/2014/main" id="{D51E2B30-938A-4F16-9854-AE7052DF20D1}"/>
            </a:ext>
          </a:extLst>
        </xdr:cNvPr>
        <xdr:cNvSpPr>
          <a:spLocks noChangeAspect="1" noChangeArrowheads="1"/>
        </xdr:cNvSpPr>
      </xdr:nvSpPr>
      <xdr:spPr bwMode="auto">
        <a:xfrm>
          <a:off x="0" y="0"/>
          <a:ext cx="302236"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xdr:row>
      <xdr:rowOff>0</xdr:rowOff>
    </xdr:from>
    <xdr:to>
      <xdr:col>1</xdr:col>
      <xdr:colOff>294426</xdr:colOff>
      <xdr:row>9</xdr:row>
      <xdr:rowOff>126339</xdr:rowOff>
    </xdr:to>
    <xdr:sp macro="" textlink="">
      <xdr:nvSpPr>
        <xdr:cNvPr id="3" name="AutoShape 2" descr="asian paints colour ideas - TikTok Shop">
          <a:extLst>
            <a:ext uri="{FF2B5EF4-FFF2-40B4-BE49-F238E27FC236}">
              <a16:creationId xmlns:a16="http://schemas.microsoft.com/office/drawing/2014/main" id="{3747A7B4-7EFB-4990-AE7F-A99357EFC02D}"/>
            </a:ext>
          </a:extLst>
        </xdr:cNvPr>
        <xdr:cNvSpPr>
          <a:spLocks noChangeAspect="1" noChangeArrowheads="1"/>
        </xdr:cNvSpPr>
      </xdr:nvSpPr>
      <xdr:spPr bwMode="auto">
        <a:xfrm>
          <a:off x="2255520" y="1584960"/>
          <a:ext cx="304800" cy="30093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xdr:row>
      <xdr:rowOff>0</xdr:rowOff>
    </xdr:from>
    <xdr:to>
      <xdr:col>1</xdr:col>
      <xdr:colOff>294426</xdr:colOff>
      <xdr:row>9</xdr:row>
      <xdr:rowOff>126339</xdr:rowOff>
    </xdr:to>
    <xdr:sp macro="" textlink="">
      <xdr:nvSpPr>
        <xdr:cNvPr id="4" name="AutoShape 3" descr="asian paints colour ideas - TikTok Shop">
          <a:extLst>
            <a:ext uri="{FF2B5EF4-FFF2-40B4-BE49-F238E27FC236}">
              <a16:creationId xmlns:a16="http://schemas.microsoft.com/office/drawing/2014/main" id="{12539BC8-7CF1-489C-AA18-4D1E301D5E14}"/>
            </a:ext>
          </a:extLst>
        </xdr:cNvPr>
        <xdr:cNvSpPr>
          <a:spLocks noChangeAspect="1" noChangeArrowheads="1"/>
        </xdr:cNvSpPr>
      </xdr:nvSpPr>
      <xdr:spPr bwMode="auto">
        <a:xfrm>
          <a:off x="2255520" y="1584960"/>
          <a:ext cx="304800" cy="30093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xdr:row>
      <xdr:rowOff>0</xdr:rowOff>
    </xdr:from>
    <xdr:to>
      <xdr:col>1</xdr:col>
      <xdr:colOff>294426</xdr:colOff>
      <xdr:row>9</xdr:row>
      <xdr:rowOff>126339</xdr:rowOff>
    </xdr:to>
    <xdr:sp macro="" textlink="">
      <xdr:nvSpPr>
        <xdr:cNvPr id="5" name="AutoShape 4" descr="asian paints colour ideas - TikTok Shop">
          <a:extLst>
            <a:ext uri="{FF2B5EF4-FFF2-40B4-BE49-F238E27FC236}">
              <a16:creationId xmlns:a16="http://schemas.microsoft.com/office/drawing/2014/main" id="{3F27065E-9CA9-4AA5-9473-B8A4B65E8115}"/>
            </a:ext>
          </a:extLst>
        </xdr:cNvPr>
        <xdr:cNvSpPr>
          <a:spLocks noChangeAspect="1" noChangeArrowheads="1"/>
        </xdr:cNvSpPr>
      </xdr:nvSpPr>
      <xdr:spPr bwMode="auto">
        <a:xfrm>
          <a:off x="2255520" y="1584960"/>
          <a:ext cx="304800" cy="30093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7189</xdr:colOff>
      <xdr:row>0</xdr:row>
      <xdr:rowOff>59868</xdr:rowOff>
    </xdr:from>
    <xdr:to>
      <xdr:col>1</xdr:col>
      <xdr:colOff>1001946</xdr:colOff>
      <xdr:row>4</xdr:row>
      <xdr:rowOff>199151</xdr:rowOff>
    </xdr:to>
    <xdr:pic>
      <xdr:nvPicPr>
        <xdr:cNvPr id="6" name="Picture 5">
          <a:extLst>
            <a:ext uri="{FF2B5EF4-FFF2-40B4-BE49-F238E27FC236}">
              <a16:creationId xmlns:a16="http://schemas.microsoft.com/office/drawing/2014/main" id="{6BFA0F22-1BA1-4548-998F-C64CF6248E6A}"/>
            </a:ext>
          </a:extLst>
        </xdr:cNvPr>
        <xdr:cNvPicPr>
          <a:picLocks noChangeAspect="1"/>
        </xdr:cNvPicPr>
      </xdr:nvPicPr>
      <xdr:blipFill>
        <a:blip xmlns:r="http://schemas.openxmlformats.org/officeDocument/2006/relationships" r:embed="rId1"/>
        <a:stretch>
          <a:fillRect/>
        </a:stretch>
      </xdr:blipFill>
      <xdr:spPr>
        <a:xfrm>
          <a:off x="215661" y="59868"/>
          <a:ext cx="994757" cy="908472"/>
        </a:xfrm>
        <a:prstGeom prst="rect">
          <a:avLst/>
        </a:prstGeom>
      </xdr:spPr>
    </xdr:pic>
    <xdr:clientData/>
  </xdr:twoCellAnchor>
  <xdr:oneCellAnchor>
    <xdr:from>
      <xdr:col>1</xdr:col>
      <xdr:colOff>0</xdr:colOff>
      <xdr:row>13</xdr:row>
      <xdr:rowOff>0</xdr:rowOff>
    </xdr:from>
    <xdr:ext cx="298630" cy="310746"/>
    <xdr:sp macro="" textlink="">
      <xdr:nvSpPr>
        <xdr:cNvPr id="124" name="AutoShape 2" descr="asian paints colour ideas - TikTok Shop">
          <a:extLst>
            <a:ext uri="{FF2B5EF4-FFF2-40B4-BE49-F238E27FC236}">
              <a16:creationId xmlns:a16="http://schemas.microsoft.com/office/drawing/2014/main" id="{AF66E094-246A-4FB4-BCE2-B50F68DCADCB}"/>
            </a:ext>
          </a:extLst>
        </xdr:cNvPr>
        <xdr:cNvSpPr>
          <a:spLocks noChangeAspect="1" noChangeArrowheads="1"/>
        </xdr:cNvSpPr>
      </xdr:nvSpPr>
      <xdr:spPr bwMode="auto">
        <a:xfrm>
          <a:off x="2557517" y="1760483"/>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298630" cy="310746"/>
    <xdr:sp macro="" textlink="">
      <xdr:nvSpPr>
        <xdr:cNvPr id="125" name="AutoShape 3" descr="asian paints colour ideas - TikTok Shop">
          <a:extLst>
            <a:ext uri="{FF2B5EF4-FFF2-40B4-BE49-F238E27FC236}">
              <a16:creationId xmlns:a16="http://schemas.microsoft.com/office/drawing/2014/main" id="{AC3F1A25-EF58-48E7-A24E-128C58914DAB}"/>
            </a:ext>
          </a:extLst>
        </xdr:cNvPr>
        <xdr:cNvSpPr>
          <a:spLocks noChangeAspect="1" noChangeArrowheads="1"/>
        </xdr:cNvSpPr>
      </xdr:nvSpPr>
      <xdr:spPr bwMode="auto">
        <a:xfrm>
          <a:off x="2557517" y="1760483"/>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298630" cy="310746"/>
    <xdr:sp macro="" textlink="">
      <xdr:nvSpPr>
        <xdr:cNvPr id="126" name="AutoShape 4" descr="asian paints colour ideas - TikTok Shop">
          <a:extLst>
            <a:ext uri="{FF2B5EF4-FFF2-40B4-BE49-F238E27FC236}">
              <a16:creationId xmlns:a16="http://schemas.microsoft.com/office/drawing/2014/main" id="{00F1716E-7E78-4576-8816-81BF941CFD11}"/>
            </a:ext>
          </a:extLst>
        </xdr:cNvPr>
        <xdr:cNvSpPr>
          <a:spLocks noChangeAspect="1" noChangeArrowheads="1"/>
        </xdr:cNvSpPr>
      </xdr:nvSpPr>
      <xdr:spPr bwMode="auto">
        <a:xfrm>
          <a:off x="2557517" y="1760483"/>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294426" cy="311400"/>
    <xdr:sp macro="" textlink="">
      <xdr:nvSpPr>
        <xdr:cNvPr id="127" name="AutoShape 2" descr="asian paints colour ideas - TikTok Shop">
          <a:extLst>
            <a:ext uri="{FF2B5EF4-FFF2-40B4-BE49-F238E27FC236}">
              <a16:creationId xmlns:a16="http://schemas.microsoft.com/office/drawing/2014/main" id="{B0BA3C0E-E3EB-4021-AC8D-7967D52583E1}"/>
            </a:ext>
          </a:extLst>
        </xdr:cNvPr>
        <xdr:cNvSpPr>
          <a:spLocks noChangeAspect="1" noChangeArrowheads="1"/>
        </xdr:cNvSpPr>
      </xdr:nvSpPr>
      <xdr:spPr bwMode="auto">
        <a:xfrm>
          <a:off x="1228299" y="1762836"/>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294426" cy="311400"/>
    <xdr:sp macro="" textlink="">
      <xdr:nvSpPr>
        <xdr:cNvPr id="128" name="AutoShape 3" descr="asian paints colour ideas - TikTok Shop">
          <a:extLst>
            <a:ext uri="{FF2B5EF4-FFF2-40B4-BE49-F238E27FC236}">
              <a16:creationId xmlns:a16="http://schemas.microsoft.com/office/drawing/2014/main" id="{4AB56733-4933-44F2-AF53-E16395EC3732}"/>
            </a:ext>
          </a:extLst>
        </xdr:cNvPr>
        <xdr:cNvSpPr>
          <a:spLocks noChangeAspect="1" noChangeArrowheads="1"/>
        </xdr:cNvSpPr>
      </xdr:nvSpPr>
      <xdr:spPr bwMode="auto">
        <a:xfrm>
          <a:off x="1228299" y="1762836"/>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294426" cy="311400"/>
    <xdr:sp macro="" textlink="">
      <xdr:nvSpPr>
        <xdr:cNvPr id="129" name="AutoShape 4" descr="asian paints colour ideas - TikTok Shop">
          <a:extLst>
            <a:ext uri="{FF2B5EF4-FFF2-40B4-BE49-F238E27FC236}">
              <a16:creationId xmlns:a16="http://schemas.microsoft.com/office/drawing/2014/main" id="{1FF144C6-7AE0-404C-BE44-771F90E8B973}"/>
            </a:ext>
          </a:extLst>
        </xdr:cNvPr>
        <xdr:cNvSpPr>
          <a:spLocks noChangeAspect="1" noChangeArrowheads="1"/>
        </xdr:cNvSpPr>
      </xdr:nvSpPr>
      <xdr:spPr bwMode="auto">
        <a:xfrm>
          <a:off x="1228299" y="1762836"/>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294426" cy="311400"/>
    <xdr:sp macro="" textlink="">
      <xdr:nvSpPr>
        <xdr:cNvPr id="130" name="AutoShape 2" descr="asian paints colour ideas - TikTok Shop">
          <a:extLst>
            <a:ext uri="{FF2B5EF4-FFF2-40B4-BE49-F238E27FC236}">
              <a16:creationId xmlns:a16="http://schemas.microsoft.com/office/drawing/2014/main" id="{5265186E-8206-45C9-B59E-550CECB2DFCA}"/>
            </a:ext>
          </a:extLst>
        </xdr:cNvPr>
        <xdr:cNvSpPr>
          <a:spLocks noChangeAspect="1" noChangeArrowheads="1"/>
        </xdr:cNvSpPr>
      </xdr:nvSpPr>
      <xdr:spPr bwMode="auto">
        <a:xfrm>
          <a:off x="1228299" y="1762836"/>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294426" cy="311400"/>
    <xdr:sp macro="" textlink="">
      <xdr:nvSpPr>
        <xdr:cNvPr id="131" name="AutoShape 3" descr="asian paints colour ideas - TikTok Shop">
          <a:extLst>
            <a:ext uri="{FF2B5EF4-FFF2-40B4-BE49-F238E27FC236}">
              <a16:creationId xmlns:a16="http://schemas.microsoft.com/office/drawing/2014/main" id="{5EC0F1E0-4789-4CAA-A055-38C6EFA5FFA7}"/>
            </a:ext>
          </a:extLst>
        </xdr:cNvPr>
        <xdr:cNvSpPr>
          <a:spLocks noChangeAspect="1" noChangeArrowheads="1"/>
        </xdr:cNvSpPr>
      </xdr:nvSpPr>
      <xdr:spPr bwMode="auto">
        <a:xfrm>
          <a:off x="1228299" y="1762836"/>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294426" cy="311400"/>
    <xdr:sp macro="" textlink="">
      <xdr:nvSpPr>
        <xdr:cNvPr id="132" name="AutoShape 4" descr="asian paints colour ideas - TikTok Shop">
          <a:extLst>
            <a:ext uri="{FF2B5EF4-FFF2-40B4-BE49-F238E27FC236}">
              <a16:creationId xmlns:a16="http://schemas.microsoft.com/office/drawing/2014/main" id="{D137CA33-79D8-4100-9E2A-A2490CCBCE0F}"/>
            </a:ext>
          </a:extLst>
        </xdr:cNvPr>
        <xdr:cNvSpPr>
          <a:spLocks noChangeAspect="1" noChangeArrowheads="1"/>
        </xdr:cNvSpPr>
      </xdr:nvSpPr>
      <xdr:spPr bwMode="auto">
        <a:xfrm>
          <a:off x="1228299" y="1762836"/>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294426" cy="311400"/>
    <xdr:sp macro="" textlink="">
      <xdr:nvSpPr>
        <xdr:cNvPr id="133" name="AutoShape 2" descr="asian paints colour ideas - TikTok Shop">
          <a:extLst>
            <a:ext uri="{FF2B5EF4-FFF2-40B4-BE49-F238E27FC236}">
              <a16:creationId xmlns:a16="http://schemas.microsoft.com/office/drawing/2014/main" id="{4FCC213A-3F73-439C-871E-287B59B4FD1B}"/>
            </a:ext>
          </a:extLst>
        </xdr:cNvPr>
        <xdr:cNvSpPr>
          <a:spLocks noChangeAspect="1" noChangeArrowheads="1"/>
        </xdr:cNvSpPr>
      </xdr:nvSpPr>
      <xdr:spPr bwMode="auto">
        <a:xfrm>
          <a:off x="1228299" y="1762836"/>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294426" cy="311400"/>
    <xdr:sp macro="" textlink="">
      <xdr:nvSpPr>
        <xdr:cNvPr id="134" name="AutoShape 3" descr="asian paints colour ideas - TikTok Shop">
          <a:extLst>
            <a:ext uri="{FF2B5EF4-FFF2-40B4-BE49-F238E27FC236}">
              <a16:creationId xmlns:a16="http://schemas.microsoft.com/office/drawing/2014/main" id="{C7C567A7-66AE-4C58-A04E-5492E19693EF}"/>
            </a:ext>
          </a:extLst>
        </xdr:cNvPr>
        <xdr:cNvSpPr>
          <a:spLocks noChangeAspect="1" noChangeArrowheads="1"/>
        </xdr:cNvSpPr>
      </xdr:nvSpPr>
      <xdr:spPr bwMode="auto">
        <a:xfrm>
          <a:off x="1228299" y="1762836"/>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294426" cy="311400"/>
    <xdr:sp macro="" textlink="">
      <xdr:nvSpPr>
        <xdr:cNvPr id="135" name="AutoShape 4" descr="asian paints colour ideas - TikTok Shop">
          <a:extLst>
            <a:ext uri="{FF2B5EF4-FFF2-40B4-BE49-F238E27FC236}">
              <a16:creationId xmlns:a16="http://schemas.microsoft.com/office/drawing/2014/main" id="{BDB81CC7-5627-4553-9AE5-C802F043D2B9}"/>
            </a:ext>
          </a:extLst>
        </xdr:cNvPr>
        <xdr:cNvSpPr>
          <a:spLocks noChangeAspect="1" noChangeArrowheads="1"/>
        </xdr:cNvSpPr>
      </xdr:nvSpPr>
      <xdr:spPr bwMode="auto">
        <a:xfrm>
          <a:off x="1228299" y="1762836"/>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28</xdr:row>
      <xdr:rowOff>0</xdr:rowOff>
    </xdr:from>
    <xdr:ext cx="294426" cy="312987"/>
    <xdr:sp macro="" textlink="">
      <xdr:nvSpPr>
        <xdr:cNvPr id="166" name="AutoShape 2" descr="asian paints colour ideas - TikTok Shop">
          <a:extLst>
            <a:ext uri="{FF2B5EF4-FFF2-40B4-BE49-F238E27FC236}">
              <a16:creationId xmlns:a16="http://schemas.microsoft.com/office/drawing/2014/main" id="{A3311DFF-1009-4A67-8688-1ECC5C062D30}"/>
            </a:ext>
          </a:extLst>
        </xdr:cNvPr>
        <xdr:cNvSpPr>
          <a:spLocks noChangeAspect="1" noChangeArrowheads="1"/>
        </xdr:cNvSpPr>
      </xdr:nvSpPr>
      <xdr:spPr bwMode="auto">
        <a:xfrm>
          <a:off x="212651" y="1754372"/>
          <a:ext cx="294426" cy="3129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28</xdr:row>
      <xdr:rowOff>0</xdr:rowOff>
    </xdr:from>
    <xdr:ext cx="294426" cy="312987"/>
    <xdr:sp macro="" textlink="">
      <xdr:nvSpPr>
        <xdr:cNvPr id="167" name="AutoShape 3" descr="asian paints colour ideas - TikTok Shop">
          <a:extLst>
            <a:ext uri="{FF2B5EF4-FFF2-40B4-BE49-F238E27FC236}">
              <a16:creationId xmlns:a16="http://schemas.microsoft.com/office/drawing/2014/main" id="{50F2DA1F-99DF-4C37-A507-47A8C6F2FDC4}"/>
            </a:ext>
          </a:extLst>
        </xdr:cNvPr>
        <xdr:cNvSpPr>
          <a:spLocks noChangeAspect="1" noChangeArrowheads="1"/>
        </xdr:cNvSpPr>
      </xdr:nvSpPr>
      <xdr:spPr bwMode="auto">
        <a:xfrm>
          <a:off x="212651" y="1754372"/>
          <a:ext cx="294426" cy="3129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28</xdr:row>
      <xdr:rowOff>0</xdr:rowOff>
    </xdr:from>
    <xdr:ext cx="294426" cy="312987"/>
    <xdr:sp macro="" textlink="">
      <xdr:nvSpPr>
        <xdr:cNvPr id="168" name="AutoShape 4" descr="asian paints colour ideas - TikTok Shop">
          <a:extLst>
            <a:ext uri="{FF2B5EF4-FFF2-40B4-BE49-F238E27FC236}">
              <a16:creationId xmlns:a16="http://schemas.microsoft.com/office/drawing/2014/main" id="{754CAD41-FAF3-4A98-8331-C14889F2DA62}"/>
            </a:ext>
          </a:extLst>
        </xdr:cNvPr>
        <xdr:cNvSpPr>
          <a:spLocks noChangeAspect="1" noChangeArrowheads="1"/>
        </xdr:cNvSpPr>
      </xdr:nvSpPr>
      <xdr:spPr bwMode="auto">
        <a:xfrm>
          <a:off x="212651" y="1754372"/>
          <a:ext cx="294426" cy="3129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32</xdr:row>
      <xdr:rowOff>0</xdr:rowOff>
    </xdr:from>
    <xdr:ext cx="298630" cy="310746"/>
    <xdr:sp macro="" textlink="">
      <xdr:nvSpPr>
        <xdr:cNvPr id="169" name="AutoShape 2" descr="asian paints colour ideas - TikTok Shop">
          <a:extLst>
            <a:ext uri="{FF2B5EF4-FFF2-40B4-BE49-F238E27FC236}">
              <a16:creationId xmlns:a16="http://schemas.microsoft.com/office/drawing/2014/main" id="{AC5B9075-C931-44C8-B72F-CF674CF34E6F}"/>
            </a:ext>
          </a:extLst>
        </xdr:cNvPr>
        <xdr:cNvSpPr>
          <a:spLocks noChangeAspect="1" noChangeArrowheads="1"/>
        </xdr:cNvSpPr>
      </xdr:nvSpPr>
      <xdr:spPr bwMode="auto">
        <a:xfrm>
          <a:off x="212651" y="2959395"/>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32</xdr:row>
      <xdr:rowOff>0</xdr:rowOff>
    </xdr:from>
    <xdr:ext cx="298630" cy="310746"/>
    <xdr:sp macro="" textlink="">
      <xdr:nvSpPr>
        <xdr:cNvPr id="170" name="AutoShape 3" descr="asian paints colour ideas - TikTok Shop">
          <a:extLst>
            <a:ext uri="{FF2B5EF4-FFF2-40B4-BE49-F238E27FC236}">
              <a16:creationId xmlns:a16="http://schemas.microsoft.com/office/drawing/2014/main" id="{EB2936C2-C2C9-49D4-800F-56CBCB24137B}"/>
            </a:ext>
          </a:extLst>
        </xdr:cNvPr>
        <xdr:cNvSpPr>
          <a:spLocks noChangeAspect="1" noChangeArrowheads="1"/>
        </xdr:cNvSpPr>
      </xdr:nvSpPr>
      <xdr:spPr bwMode="auto">
        <a:xfrm>
          <a:off x="212651" y="2959395"/>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32</xdr:row>
      <xdr:rowOff>0</xdr:rowOff>
    </xdr:from>
    <xdr:ext cx="298630" cy="310746"/>
    <xdr:sp macro="" textlink="">
      <xdr:nvSpPr>
        <xdr:cNvPr id="171" name="AutoShape 4" descr="asian paints colour ideas - TikTok Shop">
          <a:extLst>
            <a:ext uri="{FF2B5EF4-FFF2-40B4-BE49-F238E27FC236}">
              <a16:creationId xmlns:a16="http://schemas.microsoft.com/office/drawing/2014/main" id="{0180F2D3-90B2-4F25-B938-DE1C9C9109D2}"/>
            </a:ext>
          </a:extLst>
        </xdr:cNvPr>
        <xdr:cNvSpPr>
          <a:spLocks noChangeAspect="1" noChangeArrowheads="1"/>
        </xdr:cNvSpPr>
      </xdr:nvSpPr>
      <xdr:spPr bwMode="auto">
        <a:xfrm>
          <a:off x="212651" y="2959395"/>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28</xdr:row>
      <xdr:rowOff>0</xdr:rowOff>
    </xdr:from>
    <xdr:ext cx="294426" cy="311400"/>
    <xdr:sp macro="" textlink="">
      <xdr:nvSpPr>
        <xdr:cNvPr id="172" name="AutoShape 2" descr="asian paints colour ideas - TikTok Shop">
          <a:extLst>
            <a:ext uri="{FF2B5EF4-FFF2-40B4-BE49-F238E27FC236}">
              <a16:creationId xmlns:a16="http://schemas.microsoft.com/office/drawing/2014/main" id="{D2226BBC-666A-41E1-ADCE-FEA12CCA011E}"/>
            </a:ext>
          </a:extLst>
        </xdr:cNvPr>
        <xdr:cNvSpPr>
          <a:spLocks noChangeAspect="1" noChangeArrowheads="1"/>
        </xdr:cNvSpPr>
      </xdr:nvSpPr>
      <xdr:spPr bwMode="auto">
        <a:xfrm>
          <a:off x="212651" y="1754372"/>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28</xdr:row>
      <xdr:rowOff>0</xdr:rowOff>
    </xdr:from>
    <xdr:ext cx="294426" cy="311400"/>
    <xdr:sp macro="" textlink="">
      <xdr:nvSpPr>
        <xdr:cNvPr id="173" name="AutoShape 3" descr="asian paints colour ideas - TikTok Shop">
          <a:extLst>
            <a:ext uri="{FF2B5EF4-FFF2-40B4-BE49-F238E27FC236}">
              <a16:creationId xmlns:a16="http://schemas.microsoft.com/office/drawing/2014/main" id="{F5D088EC-D4C9-425B-ADB2-7315837F076A}"/>
            </a:ext>
          </a:extLst>
        </xdr:cNvPr>
        <xdr:cNvSpPr>
          <a:spLocks noChangeAspect="1" noChangeArrowheads="1"/>
        </xdr:cNvSpPr>
      </xdr:nvSpPr>
      <xdr:spPr bwMode="auto">
        <a:xfrm>
          <a:off x="212651" y="1754372"/>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28</xdr:row>
      <xdr:rowOff>0</xdr:rowOff>
    </xdr:from>
    <xdr:ext cx="294426" cy="311400"/>
    <xdr:sp macro="" textlink="">
      <xdr:nvSpPr>
        <xdr:cNvPr id="174" name="AutoShape 4" descr="asian paints colour ideas - TikTok Shop">
          <a:extLst>
            <a:ext uri="{FF2B5EF4-FFF2-40B4-BE49-F238E27FC236}">
              <a16:creationId xmlns:a16="http://schemas.microsoft.com/office/drawing/2014/main" id="{593EF5DF-E8CA-4151-8C35-66A8A1A357DA}"/>
            </a:ext>
          </a:extLst>
        </xdr:cNvPr>
        <xdr:cNvSpPr>
          <a:spLocks noChangeAspect="1" noChangeArrowheads="1"/>
        </xdr:cNvSpPr>
      </xdr:nvSpPr>
      <xdr:spPr bwMode="auto">
        <a:xfrm>
          <a:off x="212651" y="1754372"/>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32</xdr:row>
      <xdr:rowOff>0</xdr:rowOff>
    </xdr:from>
    <xdr:ext cx="294426" cy="311400"/>
    <xdr:sp macro="" textlink="">
      <xdr:nvSpPr>
        <xdr:cNvPr id="175" name="AutoShape 2" descr="asian paints colour ideas - TikTok Shop">
          <a:extLst>
            <a:ext uri="{FF2B5EF4-FFF2-40B4-BE49-F238E27FC236}">
              <a16:creationId xmlns:a16="http://schemas.microsoft.com/office/drawing/2014/main" id="{3B7CDE5A-9D95-447E-9B9B-3F91537DBD1B}"/>
            </a:ext>
          </a:extLst>
        </xdr:cNvPr>
        <xdr:cNvSpPr>
          <a:spLocks noChangeAspect="1" noChangeArrowheads="1"/>
        </xdr:cNvSpPr>
      </xdr:nvSpPr>
      <xdr:spPr bwMode="auto">
        <a:xfrm>
          <a:off x="212651" y="2959395"/>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32</xdr:row>
      <xdr:rowOff>0</xdr:rowOff>
    </xdr:from>
    <xdr:ext cx="294426" cy="311400"/>
    <xdr:sp macro="" textlink="">
      <xdr:nvSpPr>
        <xdr:cNvPr id="176" name="AutoShape 3" descr="asian paints colour ideas - TikTok Shop">
          <a:extLst>
            <a:ext uri="{FF2B5EF4-FFF2-40B4-BE49-F238E27FC236}">
              <a16:creationId xmlns:a16="http://schemas.microsoft.com/office/drawing/2014/main" id="{D1E73995-CF63-4FA7-90A1-B86AA5E1EC02}"/>
            </a:ext>
          </a:extLst>
        </xdr:cNvPr>
        <xdr:cNvSpPr>
          <a:spLocks noChangeAspect="1" noChangeArrowheads="1"/>
        </xdr:cNvSpPr>
      </xdr:nvSpPr>
      <xdr:spPr bwMode="auto">
        <a:xfrm>
          <a:off x="212651" y="2959395"/>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32</xdr:row>
      <xdr:rowOff>0</xdr:rowOff>
    </xdr:from>
    <xdr:ext cx="294426" cy="311400"/>
    <xdr:sp macro="" textlink="">
      <xdr:nvSpPr>
        <xdr:cNvPr id="177" name="AutoShape 4" descr="asian paints colour ideas - TikTok Shop">
          <a:extLst>
            <a:ext uri="{FF2B5EF4-FFF2-40B4-BE49-F238E27FC236}">
              <a16:creationId xmlns:a16="http://schemas.microsoft.com/office/drawing/2014/main" id="{0786918D-0250-495B-A1BF-DA17A9051C39}"/>
            </a:ext>
          </a:extLst>
        </xdr:cNvPr>
        <xdr:cNvSpPr>
          <a:spLocks noChangeAspect="1" noChangeArrowheads="1"/>
        </xdr:cNvSpPr>
      </xdr:nvSpPr>
      <xdr:spPr bwMode="auto">
        <a:xfrm>
          <a:off x="212651" y="2959395"/>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32</xdr:row>
      <xdr:rowOff>0</xdr:rowOff>
    </xdr:from>
    <xdr:ext cx="294426" cy="311400"/>
    <xdr:sp macro="" textlink="">
      <xdr:nvSpPr>
        <xdr:cNvPr id="178" name="AutoShape 2" descr="asian paints colour ideas - TikTok Shop">
          <a:extLst>
            <a:ext uri="{FF2B5EF4-FFF2-40B4-BE49-F238E27FC236}">
              <a16:creationId xmlns:a16="http://schemas.microsoft.com/office/drawing/2014/main" id="{937AFE57-E374-4661-A8D5-7D9BD52A032F}"/>
            </a:ext>
          </a:extLst>
        </xdr:cNvPr>
        <xdr:cNvSpPr>
          <a:spLocks noChangeAspect="1" noChangeArrowheads="1"/>
        </xdr:cNvSpPr>
      </xdr:nvSpPr>
      <xdr:spPr bwMode="auto">
        <a:xfrm>
          <a:off x="212651" y="2959395"/>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32</xdr:row>
      <xdr:rowOff>0</xdr:rowOff>
    </xdr:from>
    <xdr:ext cx="294426" cy="311400"/>
    <xdr:sp macro="" textlink="">
      <xdr:nvSpPr>
        <xdr:cNvPr id="179" name="AutoShape 3" descr="asian paints colour ideas - TikTok Shop">
          <a:extLst>
            <a:ext uri="{FF2B5EF4-FFF2-40B4-BE49-F238E27FC236}">
              <a16:creationId xmlns:a16="http://schemas.microsoft.com/office/drawing/2014/main" id="{E7D24795-B407-45EB-BE1F-62C12E133A31}"/>
            </a:ext>
          </a:extLst>
        </xdr:cNvPr>
        <xdr:cNvSpPr>
          <a:spLocks noChangeAspect="1" noChangeArrowheads="1"/>
        </xdr:cNvSpPr>
      </xdr:nvSpPr>
      <xdr:spPr bwMode="auto">
        <a:xfrm>
          <a:off x="212651" y="2959395"/>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32</xdr:row>
      <xdr:rowOff>0</xdr:rowOff>
    </xdr:from>
    <xdr:ext cx="294426" cy="311400"/>
    <xdr:sp macro="" textlink="">
      <xdr:nvSpPr>
        <xdr:cNvPr id="180" name="AutoShape 4" descr="asian paints colour ideas - TikTok Shop">
          <a:extLst>
            <a:ext uri="{FF2B5EF4-FFF2-40B4-BE49-F238E27FC236}">
              <a16:creationId xmlns:a16="http://schemas.microsoft.com/office/drawing/2014/main" id="{247D8249-546D-4862-9225-4037A87D99C8}"/>
            </a:ext>
          </a:extLst>
        </xdr:cNvPr>
        <xdr:cNvSpPr>
          <a:spLocks noChangeAspect="1" noChangeArrowheads="1"/>
        </xdr:cNvSpPr>
      </xdr:nvSpPr>
      <xdr:spPr bwMode="auto">
        <a:xfrm>
          <a:off x="212651" y="2959395"/>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23</xdr:row>
      <xdr:rowOff>0</xdr:rowOff>
    </xdr:from>
    <xdr:ext cx="294426" cy="316177"/>
    <xdr:sp macro="" textlink="">
      <xdr:nvSpPr>
        <xdr:cNvPr id="181" name="AutoShape 2" descr="asian paints colour ideas - TikTok Shop">
          <a:extLst>
            <a:ext uri="{FF2B5EF4-FFF2-40B4-BE49-F238E27FC236}">
              <a16:creationId xmlns:a16="http://schemas.microsoft.com/office/drawing/2014/main" id="{CE38CDD9-84FA-44C3-9D6E-0B20BFB8E1DE}"/>
            </a:ext>
          </a:extLst>
        </xdr:cNvPr>
        <xdr:cNvSpPr>
          <a:spLocks noChangeAspect="1" noChangeArrowheads="1"/>
        </xdr:cNvSpPr>
      </xdr:nvSpPr>
      <xdr:spPr bwMode="auto">
        <a:xfrm>
          <a:off x="213360" y="1783080"/>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23</xdr:row>
      <xdr:rowOff>0</xdr:rowOff>
    </xdr:from>
    <xdr:ext cx="294426" cy="316177"/>
    <xdr:sp macro="" textlink="">
      <xdr:nvSpPr>
        <xdr:cNvPr id="182" name="AutoShape 3" descr="asian paints colour ideas - TikTok Shop">
          <a:extLst>
            <a:ext uri="{FF2B5EF4-FFF2-40B4-BE49-F238E27FC236}">
              <a16:creationId xmlns:a16="http://schemas.microsoft.com/office/drawing/2014/main" id="{19881149-D799-4F3C-9CF0-F950168A2D42}"/>
            </a:ext>
          </a:extLst>
        </xdr:cNvPr>
        <xdr:cNvSpPr>
          <a:spLocks noChangeAspect="1" noChangeArrowheads="1"/>
        </xdr:cNvSpPr>
      </xdr:nvSpPr>
      <xdr:spPr bwMode="auto">
        <a:xfrm>
          <a:off x="213360" y="1783080"/>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23</xdr:row>
      <xdr:rowOff>0</xdr:rowOff>
    </xdr:from>
    <xdr:ext cx="294426" cy="316177"/>
    <xdr:sp macro="" textlink="">
      <xdr:nvSpPr>
        <xdr:cNvPr id="183" name="AutoShape 4" descr="asian paints colour ideas - TikTok Shop">
          <a:extLst>
            <a:ext uri="{FF2B5EF4-FFF2-40B4-BE49-F238E27FC236}">
              <a16:creationId xmlns:a16="http://schemas.microsoft.com/office/drawing/2014/main" id="{F57D71E3-6DEF-4B5B-A052-4FD587A88064}"/>
            </a:ext>
          </a:extLst>
        </xdr:cNvPr>
        <xdr:cNvSpPr>
          <a:spLocks noChangeAspect="1" noChangeArrowheads="1"/>
        </xdr:cNvSpPr>
      </xdr:nvSpPr>
      <xdr:spPr bwMode="auto">
        <a:xfrm>
          <a:off x="213360" y="1783080"/>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298630" cy="310746"/>
    <xdr:sp macro="" textlink="">
      <xdr:nvSpPr>
        <xdr:cNvPr id="184" name="AutoShape 2" descr="asian paints colour ideas - TikTok Shop">
          <a:extLst>
            <a:ext uri="{FF2B5EF4-FFF2-40B4-BE49-F238E27FC236}">
              <a16:creationId xmlns:a16="http://schemas.microsoft.com/office/drawing/2014/main" id="{05AD71AF-EB28-4DBE-9029-07C3520AE018}"/>
            </a:ext>
          </a:extLst>
        </xdr:cNvPr>
        <xdr:cNvSpPr>
          <a:spLocks noChangeAspect="1" noChangeArrowheads="1"/>
        </xdr:cNvSpPr>
      </xdr:nvSpPr>
      <xdr:spPr bwMode="auto">
        <a:xfrm>
          <a:off x="213360" y="3002280"/>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298630" cy="310746"/>
    <xdr:sp macro="" textlink="">
      <xdr:nvSpPr>
        <xdr:cNvPr id="185" name="AutoShape 3" descr="asian paints colour ideas - TikTok Shop">
          <a:extLst>
            <a:ext uri="{FF2B5EF4-FFF2-40B4-BE49-F238E27FC236}">
              <a16:creationId xmlns:a16="http://schemas.microsoft.com/office/drawing/2014/main" id="{8789D5EF-43BD-490E-A314-571E3D746226}"/>
            </a:ext>
          </a:extLst>
        </xdr:cNvPr>
        <xdr:cNvSpPr>
          <a:spLocks noChangeAspect="1" noChangeArrowheads="1"/>
        </xdr:cNvSpPr>
      </xdr:nvSpPr>
      <xdr:spPr bwMode="auto">
        <a:xfrm>
          <a:off x="213360" y="3002280"/>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298630" cy="310746"/>
    <xdr:sp macro="" textlink="">
      <xdr:nvSpPr>
        <xdr:cNvPr id="186" name="AutoShape 4" descr="asian paints colour ideas - TikTok Shop">
          <a:extLst>
            <a:ext uri="{FF2B5EF4-FFF2-40B4-BE49-F238E27FC236}">
              <a16:creationId xmlns:a16="http://schemas.microsoft.com/office/drawing/2014/main" id="{0D8E96B5-3D54-45CF-A16A-1591C3874F3D}"/>
            </a:ext>
          </a:extLst>
        </xdr:cNvPr>
        <xdr:cNvSpPr>
          <a:spLocks noChangeAspect="1" noChangeArrowheads="1"/>
        </xdr:cNvSpPr>
      </xdr:nvSpPr>
      <xdr:spPr bwMode="auto">
        <a:xfrm>
          <a:off x="213360" y="3002280"/>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23</xdr:row>
      <xdr:rowOff>0</xdr:rowOff>
    </xdr:from>
    <xdr:ext cx="294426" cy="311400"/>
    <xdr:sp macro="" textlink="">
      <xdr:nvSpPr>
        <xdr:cNvPr id="187" name="AutoShape 2" descr="asian paints colour ideas - TikTok Shop">
          <a:extLst>
            <a:ext uri="{FF2B5EF4-FFF2-40B4-BE49-F238E27FC236}">
              <a16:creationId xmlns:a16="http://schemas.microsoft.com/office/drawing/2014/main" id="{70C7C6D8-68C2-40EB-8905-CED38831154E}"/>
            </a:ext>
          </a:extLst>
        </xdr:cNvPr>
        <xdr:cNvSpPr>
          <a:spLocks noChangeAspect="1" noChangeArrowheads="1"/>
        </xdr:cNvSpPr>
      </xdr:nvSpPr>
      <xdr:spPr bwMode="auto">
        <a:xfrm>
          <a:off x="213360" y="1783080"/>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23</xdr:row>
      <xdr:rowOff>0</xdr:rowOff>
    </xdr:from>
    <xdr:ext cx="294426" cy="311400"/>
    <xdr:sp macro="" textlink="">
      <xdr:nvSpPr>
        <xdr:cNvPr id="188" name="AutoShape 3" descr="asian paints colour ideas - TikTok Shop">
          <a:extLst>
            <a:ext uri="{FF2B5EF4-FFF2-40B4-BE49-F238E27FC236}">
              <a16:creationId xmlns:a16="http://schemas.microsoft.com/office/drawing/2014/main" id="{95BF8409-FA04-4F41-9D8F-4361BE7985E0}"/>
            </a:ext>
          </a:extLst>
        </xdr:cNvPr>
        <xdr:cNvSpPr>
          <a:spLocks noChangeAspect="1" noChangeArrowheads="1"/>
        </xdr:cNvSpPr>
      </xdr:nvSpPr>
      <xdr:spPr bwMode="auto">
        <a:xfrm>
          <a:off x="213360" y="1783080"/>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23</xdr:row>
      <xdr:rowOff>0</xdr:rowOff>
    </xdr:from>
    <xdr:ext cx="294426" cy="311400"/>
    <xdr:sp macro="" textlink="">
      <xdr:nvSpPr>
        <xdr:cNvPr id="189" name="AutoShape 4" descr="asian paints colour ideas - TikTok Shop">
          <a:extLst>
            <a:ext uri="{FF2B5EF4-FFF2-40B4-BE49-F238E27FC236}">
              <a16:creationId xmlns:a16="http://schemas.microsoft.com/office/drawing/2014/main" id="{7A218A01-5B55-4687-B73D-73B599FB562B}"/>
            </a:ext>
          </a:extLst>
        </xdr:cNvPr>
        <xdr:cNvSpPr>
          <a:spLocks noChangeAspect="1" noChangeArrowheads="1"/>
        </xdr:cNvSpPr>
      </xdr:nvSpPr>
      <xdr:spPr bwMode="auto">
        <a:xfrm>
          <a:off x="213360" y="1783080"/>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294426" cy="311400"/>
    <xdr:sp macro="" textlink="">
      <xdr:nvSpPr>
        <xdr:cNvPr id="190" name="AutoShape 2" descr="asian paints colour ideas - TikTok Shop">
          <a:extLst>
            <a:ext uri="{FF2B5EF4-FFF2-40B4-BE49-F238E27FC236}">
              <a16:creationId xmlns:a16="http://schemas.microsoft.com/office/drawing/2014/main" id="{129AA9D1-EB4F-46AC-891D-E00830959E33}"/>
            </a:ext>
          </a:extLst>
        </xdr:cNvPr>
        <xdr:cNvSpPr>
          <a:spLocks noChangeAspect="1" noChangeArrowheads="1"/>
        </xdr:cNvSpPr>
      </xdr:nvSpPr>
      <xdr:spPr bwMode="auto">
        <a:xfrm>
          <a:off x="213360" y="3002280"/>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294426" cy="311400"/>
    <xdr:sp macro="" textlink="">
      <xdr:nvSpPr>
        <xdr:cNvPr id="191" name="AutoShape 3" descr="asian paints colour ideas - TikTok Shop">
          <a:extLst>
            <a:ext uri="{FF2B5EF4-FFF2-40B4-BE49-F238E27FC236}">
              <a16:creationId xmlns:a16="http://schemas.microsoft.com/office/drawing/2014/main" id="{8EE60E3C-97FE-4012-9B5A-81428798AB6C}"/>
            </a:ext>
          </a:extLst>
        </xdr:cNvPr>
        <xdr:cNvSpPr>
          <a:spLocks noChangeAspect="1" noChangeArrowheads="1"/>
        </xdr:cNvSpPr>
      </xdr:nvSpPr>
      <xdr:spPr bwMode="auto">
        <a:xfrm>
          <a:off x="213360" y="3002280"/>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294426" cy="311400"/>
    <xdr:sp macro="" textlink="">
      <xdr:nvSpPr>
        <xdr:cNvPr id="192" name="AutoShape 4" descr="asian paints colour ideas - TikTok Shop">
          <a:extLst>
            <a:ext uri="{FF2B5EF4-FFF2-40B4-BE49-F238E27FC236}">
              <a16:creationId xmlns:a16="http://schemas.microsoft.com/office/drawing/2014/main" id="{1A2A189E-DA36-4D8C-822E-2D3959295810}"/>
            </a:ext>
          </a:extLst>
        </xdr:cNvPr>
        <xdr:cNvSpPr>
          <a:spLocks noChangeAspect="1" noChangeArrowheads="1"/>
        </xdr:cNvSpPr>
      </xdr:nvSpPr>
      <xdr:spPr bwMode="auto">
        <a:xfrm>
          <a:off x="213360" y="3002280"/>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294426" cy="311400"/>
    <xdr:sp macro="" textlink="">
      <xdr:nvSpPr>
        <xdr:cNvPr id="193" name="AutoShape 2" descr="asian paints colour ideas - TikTok Shop">
          <a:extLst>
            <a:ext uri="{FF2B5EF4-FFF2-40B4-BE49-F238E27FC236}">
              <a16:creationId xmlns:a16="http://schemas.microsoft.com/office/drawing/2014/main" id="{311B5BDA-7643-4C6B-9C3A-30BC001D6DAD}"/>
            </a:ext>
          </a:extLst>
        </xdr:cNvPr>
        <xdr:cNvSpPr>
          <a:spLocks noChangeAspect="1" noChangeArrowheads="1"/>
        </xdr:cNvSpPr>
      </xdr:nvSpPr>
      <xdr:spPr bwMode="auto">
        <a:xfrm>
          <a:off x="213360" y="3002280"/>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294426" cy="311400"/>
    <xdr:sp macro="" textlink="">
      <xdr:nvSpPr>
        <xdr:cNvPr id="194" name="AutoShape 3" descr="asian paints colour ideas - TikTok Shop">
          <a:extLst>
            <a:ext uri="{FF2B5EF4-FFF2-40B4-BE49-F238E27FC236}">
              <a16:creationId xmlns:a16="http://schemas.microsoft.com/office/drawing/2014/main" id="{FD7DE7E6-0DED-4012-9DB6-B3E71ECA25D6}"/>
            </a:ext>
          </a:extLst>
        </xdr:cNvPr>
        <xdr:cNvSpPr>
          <a:spLocks noChangeAspect="1" noChangeArrowheads="1"/>
        </xdr:cNvSpPr>
      </xdr:nvSpPr>
      <xdr:spPr bwMode="auto">
        <a:xfrm>
          <a:off x="213360" y="3002280"/>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294426" cy="311400"/>
    <xdr:sp macro="" textlink="">
      <xdr:nvSpPr>
        <xdr:cNvPr id="195" name="AutoShape 4" descr="asian paints colour ideas - TikTok Shop">
          <a:extLst>
            <a:ext uri="{FF2B5EF4-FFF2-40B4-BE49-F238E27FC236}">
              <a16:creationId xmlns:a16="http://schemas.microsoft.com/office/drawing/2014/main" id="{3D612F79-725D-4148-903F-7A66D5BF1D11}"/>
            </a:ext>
          </a:extLst>
        </xdr:cNvPr>
        <xdr:cNvSpPr>
          <a:spLocks noChangeAspect="1" noChangeArrowheads="1"/>
        </xdr:cNvSpPr>
      </xdr:nvSpPr>
      <xdr:spPr bwMode="auto">
        <a:xfrm>
          <a:off x="213360" y="3002280"/>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23</xdr:row>
      <xdr:rowOff>0</xdr:rowOff>
    </xdr:from>
    <xdr:ext cx="294426" cy="312020"/>
    <xdr:sp macro="" textlink="">
      <xdr:nvSpPr>
        <xdr:cNvPr id="196" name="AutoShape 2" descr="asian paints colour ideas - TikTok Shop">
          <a:extLst>
            <a:ext uri="{FF2B5EF4-FFF2-40B4-BE49-F238E27FC236}">
              <a16:creationId xmlns:a16="http://schemas.microsoft.com/office/drawing/2014/main" id="{1031227F-F4CE-485C-AC64-434188C48957}"/>
            </a:ext>
          </a:extLst>
        </xdr:cNvPr>
        <xdr:cNvSpPr>
          <a:spLocks noChangeAspect="1" noChangeArrowheads="1"/>
        </xdr:cNvSpPr>
      </xdr:nvSpPr>
      <xdr:spPr bwMode="auto">
        <a:xfrm>
          <a:off x="207818" y="1773382"/>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23</xdr:row>
      <xdr:rowOff>0</xdr:rowOff>
    </xdr:from>
    <xdr:ext cx="294426" cy="312020"/>
    <xdr:sp macro="" textlink="">
      <xdr:nvSpPr>
        <xdr:cNvPr id="197" name="AutoShape 3" descr="asian paints colour ideas - TikTok Shop">
          <a:extLst>
            <a:ext uri="{FF2B5EF4-FFF2-40B4-BE49-F238E27FC236}">
              <a16:creationId xmlns:a16="http://schemas.microsoft.com/office/drawing/2014/main" id="{3CBC5689-FD3C-4565-8B74-EDE38C391E81}"/>
            </a:ext>
          </a:extLst>
        </xdr:cNvPr>
        <xdr:cNvSpPr>
          <a:spLocks noChangeAspect="1" noChangeArrowheads="1"/>
        </xdr:cNvSpPr>
      </xdr:nvSpPr>
      <xdr:spPr bwMode="auto">
        <a:xfrm>
          <a:off x="207818" y="1773382"/>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23</xdr:row>
      <xdr:rowOff>0</xdr:rowOff>
    </xdr:from>
    <xdr:ext cx="294426" cy="312020"/>
    <xdr:sp macro="" textlink="">
      <xdr:nvSpPr>
        <xdr:cNvPr id="198" name="AutoShape 4" descr="asian paints colour ideas - TikTok Shop">
          <a:extLst>
            <a:ext uri="{FF2B5EF4-FFF2-40B4-BE49-F238E27FC236}">
              <a16:creationId xmlns:a16="http://schemas.microsoft.com/office/drawing/2014/main" id="{82C97522-83AA-4185-B203-BE11AE8959CA}"/>
            </a:ext>
          </a:extLst>
        </xdr:cNvPr>
        <xdr:cNvSpPr>
          <a:spLocks noChangeAspect="1" noChangeArrowheads="1"/>
        </xdr:cNvSpPr>
      </xdr:nvSpPr>
      <xdr:spPr bwMode="auto">
        <a:xfrm>
          <a:off x="207818" y="1773382"/>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298630" cy="310746"/>
    <xdr:sp macro="" textlink="">
      <xdr:nvSpPr>
        <xdr:cNvPr id="199" name="AutoShape 2" descr="asian paints colour ideas - TikTok Shop">
          <a:extLst>
            <a:ext uri="{FF2B5EF4-FFF2-40B4-BE49-F238E27FC236}">
              <a16:creationId xmlns:a16="http://schemas.microsoft.com/office/drawing/2014/main" id="{834FA945-DB7A-458E-8F50-E06735C100A6}"/>
            </a:ext>
          </a:extLst>
        </xdr:cNvPr>
        <xdr:cNvSpPr>
          <a:spLocks noChangeAspect="1" noChangeArrowheads="1"/>
        </xdr:cNvSpPr>
      </xdr:nvSpPr>
      <xdr:spPr bwMode="auto">
        <a:xfrm>
          <a:off x="207818" y="2978727"/>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298630" cy="310746"/>
    <xdr:sp macro="" textlink="">
      <xdr:nvSpPr>
        <xdr:cNvPr id="200" name="AutoShape 3" descr="asian paints colour ideas - TikTok Shop">
          <a:extLst>
            <a:ext uri="{FF2B5EF4-FFF2-40B4-BE49-F238E27FC236}">
              <a16:creationId xmlns:a16="http://schemas.microsoft.com/office/drawing/2014/main" id="{CDEBB8FD-D5D0-4D5F-9C05-310C6C619A12}"/>
            </a:ext>
          </a:extLst>
        </xdr:cNvPr>
        <xdr:cNvSpPr>
          <a:spLocks noChangeAspect="1" noChangeArrowheads="1"/>
        </xdr:cNvSpPr>
      </xdr:nvSpPr>
      <xdr:spPr bwMode="auto">
        <a:xfrm>
          <a:off x="207818" y="2978727"/>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298630" cy="310746"/>
    <xdr:sp macro="" textlink="">
      <xdr:nvSpPr>
        <xdr:cNvPr id="201" name="AutoShape 4" descr="asian paints colour ideas - TikTok Shop">
          <a:extLst>
            <a:ext uri="{FF2B5EF4-FFF2-40B4-BE49-F238E27FC236}">
              <a16:creationId xmlns:a16="http://schemas.microsoft.com/office/drawing/2014/main" id="{DC669B8C-E31E-4539-8951-05778EADDBCB}"/>
            </a:ext>
          </a:extLst>
        </xdr:cNvPr>
        <xdr:cNvSpPr>
          <a:spLocks noChangeAspect="1" noChangeArrowheads="1"/>
        </xdr:cNvSpPr>
      </xdr:nvSpPr>
      <xdr:spPr bwMode="auto">
        <a:xfrm>
          <a:off x="207818" y="2978727"/>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23</xdr:row>
      <xdr:rowOff>0</xdr:rowOff>
    </xdr:from>
    <xdr:ext cx="294426" cy="311400"/>
    <xdr:sp macro="" textlink="">
      <xdr:nvSpPr>
        <xdr:cNvPr id="202" name="AutoShape 2" descr="asian paints colour ideas - TikTok Shop">
          <a:extLst>
            <a:ext uri="{FF2B5EF4-FFF2-40B4-BE49-F238E27FC236}">
              <a16:creationId xmlns:a16="http://schemas.microsoft.com/office/drawing/2014/main" id="{027FABB3-0573-4247-8E0D-C8015D83C616}"/>
            </a:ext>
          </a:extLst>
        </xdr:cNvPr>
        <xdr:cNvSpPr>
          <a:spLocks noChangeAspect="1" noChangeArrowheads="1"/>
        </xdr:cNvSpPr>
      </xdr:nvSpPr>
      <xdr:spPr bwMode="auto">
        <a:xfrm>
          <a:off x="207818" y="1773382"/>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23</xdr:row>
      <xdr:rowOff>0</xdr:rowOff>
    </xdr:from>
    <xdr:ext cx="294426" cy="311400"/>
    <xdr:sp macro="" textlink="">
      <xdr:nvSpPr>
        <xdr:cNvPr id="203" name="AutoShape 3" descr="asian paints colour ideas - TikTok Shop">
          <a:extLst>
            <a:ext uri="{FF2B5EF4-FFF2-40B4-BE49-F238E27FC236}">
              <a16:creationId xmlns:a16="http://schemas.microsoft.com/office/drawing/2014/main" id="{EFC9A6A7-3B80-4AE4-993A-A71D0B2B86D2}"/>
            </a:ext>
          </a:extLst>
        </xdr:cNvPr>
        <xdr:cNvSpPr>
          <a:spLocks noChangeAspect="1" noChangeArrowheads="1"/>
        </xdr:cNvSpPr>
      </xdr:nvSpPr>
      <xdr:spPr bwMode="auto">
        <a:xfrm>
          <a:off x="207818" y="1773382"/>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23</xdr:row>
      <xdr:rowOff>0</xdr:rowOff>
    </xdr:from>
    <xdr:ext cx="294426" cy="311400"/>
    <xdr:sp macro="" textlink="">
      <xdr:nvSpPr>
        <xdr:cNvPr id="204" name="AutoShape 4" descr="asian paints colour ideas - TikTok Shop">
          <a:extLst>
            <a:ext uri="{FF2B5EF4-FFF2-40B4-BE49-F238E27FC236}">
              <a16:creationId xmlns:a16="http://schemas.microsoft.com/office/drawing/2014/main" id="{0121B47C-3BD0-4425-888B-5C365AAC7167}"/>
            </a:ext>
          </a:extLst>
        </xdr:cNvPr>
        <xdr:cNvSpPr>
          <a:spLocks noChangeAspect="1" noChangeArrowheads="1"/>
        </xdr:cNvSpPr>
      </xdr:nvSpPr>
      <xdr:spPr bwMode="auto">
        <a:xfrm>
          <a:off x="207818" y="1773382"/>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294426" cy="311400"/>
    <xdr:sp macro="" textlink="">
      <xdr:nvSpPr>
        <xdr:cNvPr id="205" name="AutoShape 2" descr="asian paints colour ideas - TikTok Shop">
          <a:extLst>
            <a:ext uri="{FF2B5EF4-FFF2-40B4-BE49-F238E27FC236}">
              <a16:creationId xmlns:a16="http://schemas.microsoft.com/office/drawing/2014/main" id="{7C35D2FA-4CF7-4D03-B752-C455F804A951}"/>
            </a:ext>
          </a:extLst>
        </xdr:cNvPr>
        <xdr:cNvSpPr>
          <a:spLocks noChangeAspect="1" noChangeArrowheads="1"/>
        </xdr:cNvSpPr>
      </xdr:nvSpPr>
      <xdr:spPr bwMode="auto">
        <a:xfrm>
          <a:off x="207818" y="2978727"/>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294426" cy="311400"/>
    <xdr:sp macro="" textlink="">
      <xdr:nvSpPr>
        <xdr:cNvPr id="206" name="AutoShape 3" descr="asian paints colour ideas - TikTok Shop">
          <a:extLst>
            <a:ext uri="{FF2B5EF4-FFF2-40B4-BE49-F238E27FC236}">
              <a16:creationId xmlns:a16="http://schemas.microsoft.com/office/drawing/2014/main" id="{0B774085-BE7A-4436-BF12-D838E4F00247}"/>
            </a:ext>
          </a:extLst>
        </xdr:cNvPr>
        <xdr:cNvSpPr>
          <a:spLocks noChangeAspect="1" noChangeArrowheads="1"/>
        </xdr:cNvSpPr>
      </xdr:nvSpPr>
      <xdr:spPr bwMode="auto">
        <a:xfrm>
          <a:off x="207818" y="2978727"/>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294426" cy="311400"/>
    <xdr:sp macro="" textlink="">
      <xdr:nvSpPr>
        <xdr:cNvPr id="207" name="AutoShape 4" descr="asian paints colour ideas - TikTok Shop">
          <a:extLst>
            <a:ext uri="{FF2B5EF4-FFF2-40B4-BE49-F238E27FC236}">
              <a16:creationId xmlns:a16="http://schemas.microsoft.com/office/drawing/2014/main" id="{DB4AC805-85DA-4D08-ADAD-424BDE5B8755}"/>
            </a:ext>
          </a:extLst>
        </xdr:cNvPr>
        <xdr:cNvSpPr>
          <a:spLocks noChangeAspect="1" noChangeArrowheads="1"/>
        </xdr:cNvSpPr>
      </xdr:nvSpPr>
      <xdr:spPr bwMode="auto">
        <a:xfrm>
          <a:off x="207818" y="2978727"/>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294426" cy="311400"/>
    <xdr:sp macro="" textlink="">
      <xdr:nvSpPr>
        <xdr:cNvPr id="208" name="AutoShape 2" descr="asian paints colour ideas - TikTok Shop">
          <a:extLst>
            <a:ext uri="{FF2B5EF4-FFF2-40B4-BE49-F238E27FC236}">
              <a16:creationId xmlns:a16="http://schemas.microsoft.com/office/drawing/2014/main" id="{4099DB71-6713-4375-B24A-C74A3F3BFC50}"/>
            </a:ext>
          </a:extLst>
        </xdr:cNvPr>
        <xdr:cNvSpPr>
          <a:spLocks noChangeAspect="1" noChangeArrowheads="1"/>
        </xdr:cNvSpPr>
      </xdr:nvSpPr>
      <xdr:spPr bwMode="auto">
        <a:xfrm>
          <a:off x="207818" y="2978727"/>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294426" cy="311400"/>
    <xdr:sp macro="" textlink="">
      <xdr:nvSpPr>
        <xdr:cNvPr id="209" name="AutoShape 3" descr="asian paints colour ideas - TikTok Shop">
          <a:extLst>
            <a:ext uri="{FF2B5EF4-FFF2-40B4-BE49-F238E27FC236}">
              <a16:creationId xmlns:a16="http://schemas.microsoft.com/office/drawing/2014/main" id="{AB80386C-7F6A-4D34-BB8D-F5ED11A7DA55}"/>
            </a:ext>
          </a:extLst>
        </xdr:cNvPr>
        <xdr:cNvSpPr>
          <a:spLocks noChangeAspect="1" noChangeArrowheads="1"/>
        </xdr:cNvSpPr>
      </xdr:nvSpPr>
      <xdr:spPr bwMode="auto">
        <a:xfrm>
          <a:off x="207818" y="2978727"/>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28</xdr:row>
      <xdr:rowOff>0</xdr:rowOff>
    </xdr:from>
    <xdr:ext cx="294426" cy="311400"/>
    <xdr:sp macro="" textlink="">
      <xdr:nvSpPr>
        <xdr:cNvPr id="210" name="AutoShape 4" descr="asian paints colour ideas - TikTok Shop">
          <a:extLst>
            <a:ext uri="{FF2B5EF4-FFF2-40B4-BE49-F238E27FC236}">
              <a16:creationId xmlns:a16="http://schemas.microsoft.com/office/drawing/2014/main" id="{346EF2B6-2F8F-4C0F-9088-58CFD78B1314}"/>
            </a:ext>
          </a:extLst>
        </xdr:cNvPr>
        <xdr:cNvSpPr>
          <a:spLocks noChangeAspect="1" noChangeArrowheads="1"/>
        </xdr:cNvSpPr>
      </xdr:nvSpPr>
      <xdr:spPr bwMode="auto">
        <a:xfrm>
          <a:off x="207818" y="2978727"/>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33</xdr:row>
      <xdr:rowOff>0</xdr:rowOff>
    </xdr:from>
    <xdr:ext cx="294426" cy="312987"/>
    <xdr:sp macro="" textlink="">
      <xdr:nvSpPr>
        <xdr:cNvPr id="211" name="AutoShape 2" descr="asian paints colour ideas - TikTok Shop">
          <a:extLst>
            <a:ext uri="{FF2B5EF4-FFF2-40B4-BE49-F238E27FC236}">
              <a16:creationId xmlns:a16="http://schemas.microsoft.com/office/drawing/2014/main" id="{766827B4-8634-4E50-B686-40EB5195D264}"/>
            </a:ext>
          </a:extLst>
        </xdr:cNvPr>
        <xdr:cNvSpPr>
          <a:spLocks noChangeAspect="1" noChangeArrowheads="1"/>
        </xdr:cNvSpPr>
      </xdr:nvSpPr>
      <xdr:spPr bwMode="auto">
        <a:xfrm>
          <a:off x="6887308" y="6843346"/>
          <a:ext cx="294426" cy="3129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33</xdr:row>
      <xdr:rowOff>0</xdr:rowOff>
    </xdr:from>
    <xdr:ext cx="294426" cy="312987"/>
    <xdr:sp macro="" textlink="">
      <xdr:nvSpPr>
        <xdr:cNvPr id="212" name="AutoShape 3" descr="asian paints colour ideas - TikTok Shop">
          <a:extLst>
            <a:ext uri="{FF2B5EF4-FFF2-40B4-BE49-F238E27FC236}">
              <a16:creationId xmlns:a16="http://schemas.microsoft.com/office/drawing/2014/main" id="{C67B7846-C625-43BE-815B-630BB438DECA}"/>
            </a:ext>
          </a:extLst>
        </xdr:cNvPr>
        <xdr:cNvSpPr>
          <a:spLocks noChangeAspect="1" noChangeArrowheads="1"/>
        </xdr:cNvSpPr>
      </xdr:nvSpPr>
      <xdr:spPr bwMode="auto">
        <a:xfrm>
          <a:off x="6887308" y="6843346"/>
          <a:ext cx="294426" cy="3129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33</xdr:row>
      <xdr:rowOff>0</xdr:rowOff>
    </xdr:from>
    <xdr:ext cx="294426" cy="312987"/>
    <xdr:sp macro="" textlink="">
      <xdr:nvSpPr>
        <xdr:cNvPr id="213" name="AutoShape 4" descr="asian paints colour ideas - TikTok Shop">
          <a:extLst>
            <a:ext uri="{FF2B5EF4-FFF2-40B4-BE49-F238E27FC236}">
              <a16:creationId xmlns:a16="http://schemas.microsoft.com/office/drawing/2014/main" id="{BC8DC802-F35C-4049-8A19-863ACEF5D791}"/>
            </a:ext>
          </a:extLst>
        </xdr:cNvPr>
        <xdr:cNvSpPr>
          <a:spLocks noChangeAspect="1" noChangeArrowheads="1"/>
        </xdr:cNvSpPr>
      </xdr:nvSpPr>
      <xdr:spPr bwMode="auto">
        <a:xfrm>
          <a:off x="6887308" y="6843346"/>
          <a:ext cx="294426" cy="3129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33</xdr:row>
      <xdr:rowOff>0</xdr:rowOff>
    </xdr:from>
    <xdr:ext cx="294426" cy="311400"/>
    <xdr:sp macro="" textlink="">
      <xdr:nvSpPr>
        <xdr:cNvPr id="214" name="AutoShape 2" descr="asian paints colour ideas - TikTok Shop">
          <a:extLst>
            <a:ext uri="{FF2B5EF4-FFF2-40B4-BE49-F238E27FC236}">
              <a16:creationId xmlns:a16="http://schemas.microsoft.com/office/drawing/2014/main" id="{2423E212-E4E4-40F4-8F92-8DABE61221DD}"/>
            </a:ext>
          </a:extLst>
        </xdr:cNvPr>
        <xdr:cNvSpPr>
          <a:spLocks noChangeAspect="1" noChangeArrowheads="1"/>
        </xdr:cNvSpPr>
      </xdr:nvSpPr>
      <xdr:spPr bwMode="auto">
        <a:xfrm>
          <a:off x="6887308" y="6843346"/>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33</xdr:row>
      <xdr:rowOff>0</xdr:rowOff>
    </xdr:from>
    <xdr:ext cx="294426" cy="311400"/>
    <xdr:sp macro="" textlink="">
      <xdr:nvSpPr>
        <xdr:cNvPr id="215" name="AutoShape 3" descr="asian paints colour ideas - TikTok Shop">
          <a:extLst>
            <a:ext uri="{FF2B5EF4-FFF2-40B4-BE49-F238E27FC236}">
              <a16:creationId xmlns:a16="http://schemas.microsoft.com/office/drawing/2014/main" id="{8107F68C-3F5E-4A5E-82B2-6D88B6999679}"/>
            </a:ext>
          </a:extLst>
        </xdr:cNvPr>
        <xdr:cNvSpPr>
          <a:spLocks noChangeAspect="1" noChangeArrowheads="1"/>
        </xdr:cNvSpPr>
      </xdr:nvSpPr>
      <xdr:spPr bwMode="auto">
        <a:xfrm>
          <a:off x="6887308" y="6843346"/>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33</xdr:row>
      <xdr:rowOff>0</xdr:rowOff>
    </xdr:from>
    <xdr:ext cx="294426" cy="311400"/>
    <xdr:sp macro="" textlink="">
      <xdr:nvSpPr>
        <xdr:cNvPr id="216" name="AutoShape 4" descr="asian paints colour ideas - TikTok Shop">
          <a:extLst>
            <a:ext uri="{FF2B5EF4-FFF2-40B4-BE49-F238E27FC236}">
              <a16:creationId xmlns:a16="http://schemas.microsoft.com/office/drawing/2014/main" id="{D960BDC3-4370-4B44-B54F-50FADE9A6D25}"/>
            </a:ext>
          </a:extLst>
        </xdr:cNvPr>
        <xdr:cNvSpPr>
          <a:spLocks noChangeAspect="1" noChangeArrowheads="1"/>
        </xdr:cNvSpPr>
      </xdr:nvSpPr>
      <xdr:spPr bwMode="auto">
        <a:xfrm>
          <a:off x="6887308" y="6843346"/>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298630" cy="310746"/>
    <xdr:sp macro="" textlink="">
      <xdr:nvSpPr>
        <xdr:cNvPr id="217" name="AutoShape 2" descr="asian paints colour ideas - TikTok Shop">
          <a:extLst>
            <a:ext uri="{FF2B5EF4-FFF2-40B4-BE49-F238E27FC236}">
              <a16:creationId xmlns:a16="http://schemas.microsoft.com/office/drawing/2014/main" id="{3CC69B9A-6CC4-42A9-A29D-C7E09F765CA9}"/>
            </a:ext>
          </a:extLst>
        </xdr:cNvPr>
        <xdr:cNvSpPr>
          <a:spLocks noChangeAspect="1" noChangeArrowheads="1"/>
        </xdr:cNvSpPr>
      </xdr:nvSpPr>
      <xdr:spPr bwMode="auto">
        <a:xfrm>
          <a:off x="205154" y="6843346"/>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298630" cy="310746"/>
    <xdr:sp macro="" textlink="">
      <xdr:nvSpPr>
        <xdr:cNvPr id="218" name="AutoShape 3" descr="asian paints colour ideas - TikTok Shop">
          <a:extLst>
            <a:ext uri="{FF2B5EF4-FFF2-40B4-BE49-F238E27FC236}">
              <a16:creationId xmlns:a16="http://schemas.microsoft.com/office/drawing/2014/main" id="{5A12E359-17CB-4508-A440-38FC65F0C752}"/>
            </a:ext>
          </a:extLst>
        </xdr:cNvPr>
        <xdr:cNvSpPr>
          <a:spLocks noChangeAspect="1" noChangeArrowheads="1"/>
        </xdr:cNvSpPr>
      </xdr:nvSpPr>
      <xdr:spPr bwMode="auto">
        <a:xfrm>
          <a:off x="205154" y="6843346"/>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298630" cy="310746"/>
    <xdr:sp macro="" textlink="">
      <xdr:nvSpPr>
        <xdr:cNvPr id="219" name="AutoShape 4" descr="asian paints colour ideas - TikTok Shop">
          <a:extLst>
            <a:ext uri="{FF2B5EF4-FFF2-40B4-BE49-F238E27FC236}">
              <a16:creationId xmlns:a16="http://schemas.microsoft.com/office/drawing/2014/main" id="{A8ED70D0-432D-4B78-8285-D9D59F450CCF}"/>
            </a:ext>
          </a:extLst>
        </xdr:cNvPr>
        <xdr:cNvSpPr>
          <a:spLocks noChangeAspect="1" noChangeArrowheads="1"/>
        </xdr:cNvSpPr>
      </xdr:nvSpPr>
      <xdr:spPr bwMode="auto">
        <a:xfrm>
          <a:off x="205154" y="6843346"/>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294426" cy="311400"/>
    <xdr:sp macro="" textlink="">
      <xdr:nvSpPr>
        <xdr:cNvPr id="220" name="AutoShape 2" descr="asian paints colour ideas - TikTok Shop">
          <a:extLst>
            <a:ext uri="{FF2B5EF4-FFF2-40B4-BE49-F238E27FC236}">
              <a16:creationId xmlns:a16="http://schemas.microsoft.com/office/drawing/2014/main" id="{D859E5E8-92E3-4B75-BB49-77FB51691523}"/>
            </a:ext>
          </a:extLst>
        </xdr:cNvPr>
        <xdr:cNvSpPr>
          <a:spLocks noChangeAspect="1" noChangeArrowheads="1"/>
        </xdr:cNvSpPr>
      </xdr:nvSpPr>
      <xdr:spPr bwMode="auto">
        <a:xfrm>
          <a:off x="205154" y="6843346"/>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294426" cy="311400"/>
    <xdr:sp macro="" textlink="">
      <xdr:nvSpPr>
        <xdr:cNvPr id="221" name="AutoShape 3" descr="asian paints colour ideas - TikTok Shop">
          <a:extLst>
            <a:ext uri="{FF2B5EF4-FFF2-40B4-BE49-F238E27FC236}">
              <a16:creationId xmlns:a16="http://schemas.microsoft.com/office/drawing/2014/main" id="{87AF256D-E0EB-4F21-BB45-27EAD557CCD6}"/>
            </a:ext>
          </a:extLst>
        </xdr:cNvPr>
        <xdr:cNvSpPr>
          <a:spLocks noChangeAspect="1" noChangeArrowheads="1"/>
        </xdr:cNvSpPr>
      </xdr:nvSpPr>
      <xdr:spPr bwMode="auto">
        <a:xfrm>
          <a:off x="205154" y="6843346"/>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294426" cy="311400"/>
    <xdr:sp macro="" textlink="">
      <xdr:nvSpPr>
        <xdr:cNvPr id="222" name="AutoShape 4" descr="asian paints colour ideas - TikTok Shop">
          <a:extLst>
            <a:ext uri="{FF2B5EF4-FFF2-40B4-BE49-F238E27FC236}">
              <a16:creationId xmlns:a16="http://schemas.microsoft.com/office/drawing/2014/main" id="{5F29891E-2129-43DC-99EF-0F96B7305FC8}"/>
            </a:ext>
          </a:extLst>
        </xdr:cNvPr>
        <xdr:cNvSpPr>
          <a:spLocks noChangeAspect="1" noChangeArrowheads="1"/>
        </xdr:cNvSpPr>
      </xdr:nvSpPr>
      <xdr:spPr bwMode="auto">
        <a:xfrm>
          <a:off x="205154" y="6843346"/>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294426" cy="311400"/>
    <xdr:sp macro="" textlink="">
      <xdr:nvSpPr>
        <xdr:cNvPr id="223" name="AutoShape 2" descr="asian paints colour ideas - TikTok Shop">
          <a:extLst>
            <a:ext uri="{FF2B5EF4-FFF2-40B4-BE49-F238E27FC236}">
              <a16:creationId xmlns:a16="http://schemas.microsoft.com/office/drawing/2014/main" id="{2AD283BA-7CF2-46C8-A8A2-97654A5D6338}"/>
            </a:ext>
          </a:extLst>
        </xdr:cNvPr>
        <xdr:cNvSpPr>
          <a:spLocks noChangeAspect="1" noChangeArrowheads="1"/>
        </xdr:cNvSpPr>
      </xdr:nvSpPr>
      <xdr:spPr bwMode="auto">
        <a:xfrm>
          <a:off x="205154" y="6843346"/>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294426" cy="311400"/>
    <xdr:sp macro="" textlink="">
      <xdr:nvSpPr>
        <xdr:cNvPr id="224" name="AutoShape 3" descr="asian paints colour ideas - TikTok Shop">
          <a:extLst>
            <a:ext uri="{FF2B5EF4-FFF2-40B4-BE49-F238E27FC236}">
              <a16:creationId xmlns:a16="http://schemas.microsoft.com/office/drawing/2014/main" id="{BC36F4EE-38C6-4CFD-BDEF-DAFBACD77A26}"/>
            </a:ext>
          </a:extLst>
        </xdr:cNvPr>
        <xdr:cNvSpPr>
          <a:spLocks noChangeAspect="1" noChangeArrowheads="1"/>
        </xdr:cNvSpPr>
      </xdr:nvSpPr>
      <xdr:spPr bwMode="auto">
        <a:xfrm>
          <a:off x="205154" y="6843346"/>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294426" cy="311400"/>
    <xdr:sp macro="" textlink="">
      <xdr:nvSpPr>
        <xdr:cNvPr id="225" name="AutoShape 4" descr="asian paints colour ideas - TikTok Shop">
          <a:extLst>
            <a:ext uri="{FF2B5EF4-FFF2-40B4-BE49-F238E27FC236}">
              <a16:creationId xmlns:a16="http://schemas.microsoft.com/office/drawing/2014/main" id="{C42851B6-BFA7-45AA-AA05-71A65DA74A11}"/>
            </a:ext>
          </a:extLst>
        </xdr:cNvPr>
        <xdr:cNvSpPr>
          <a:spLocks noChangeAspect="1" noChangeArrowheads="1"/>
        </xdr:cNvSpPr>
      </xdr:nvSpPr>
      <xdr:spPr bwMode="auto">
        <a:xfrm>
          <a:off x="205154" y="6843346"/>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298630" cy="310746"/>
    <xdr:sp macro="" textlink="">
      <xdr:nvSpPr>
        <xdr:cNvPr id="226" name="AutoShape 2" descr="asian paints colour ideas - TikTok Shop">
          <a:extLst>
            <a:ext uri="{FF2B5EF4-FFF2-40B4-BE49-F238E27FC236}">
              <a16:creationId xmlns:a16="http://schemas.microsoft.com/office/drawing/2014/main" id="{ACC76DBE-D624-42EB-88BA-DFBCF4789FDE}"/>
            </a:ext>
          </a:extLst>
        </xdr:cNvPr>
        <xdr:cNvSpPr>
          <a:spLocks noChangeAspect="1" noChangeArrowheads="1"/>
        </xdr:cNvSpPr>
      </xdr:nvSpPr>
      <xdr:spPr bwMode="auto">
        <a:xfrm>
          <a:off x="205154" y="6843346"/>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298630" cy="310746"/>
    <xdr:sp macro="" textlink="">
      <xdr:nvSpPr>
        <xdr:cNvPr id="227" name="AutoShape 3" descr="asian paints colour ideas - TikTok Shop">
          <a:extLst>
            <a:ext uri="{FF2B5EF4-FFF2-40B4-BE49-F238E27FC236}">
              <a16:creationId xmlns:a16="http://schemas.microsoft.com/office/drawing/2014/main" id="{0D9E132B-6C1F-4C73-9A7D-EA2B1E85D7EE}"/>
            </a:ext>
          </a:extLst>
        </xdr:cNvPr>
        <xdr:cNvSpPr>
          <a:spLocks noChangeAspect="1" noChangeArrowheads="1"/>
        </xdr:cNvSpPr>
      </xdr:nvSpPr>
      <xdr:spPr bwMode="auto">
        <a:xfrm>
          <a:off x="205154" y="6843346"/>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298630" cy="310746"/>
    <xdr:sp macro="" textlink="">
      <xdr:nvSpPr>
        <xdr:cNvPr id="228" name="AutoShape 4" descr="asian paints colour ideas - TikTok Shop">
          <a:extLst>
            <a:ext uri="{FF2B5EF4-FFF2-40B4-BE49-F238E27FC236}">
              <a16:creationId xmlns:a16="http://schemas.microsoft.com/office/drawing/2014/main" id="{A624F2ED-B9A5-4F5D-9439-2013022D7E6E}"/>
            </a:ext>
          </a:extLst>
        </xdr:cNvPr>
        <xdr:cNvSpPr>
          <a:spLocks noChangeAspect="1" noChangeArrowheads="1"/>
        </xdr:cNvSpPr>
      </xdr:nvSpPr>
      <xdr:spPr bwMode="auto">
        <a:xfrm>
          <a:off x="205154" y="6843346"/>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294426" cy="311400"/>
    <xdr:sp macro="" textlink="">
      <xdr:nvSpPr>
        <xdr:cNvPr id="229" name="AutoShape 2" descr="asian paints colour ideas - TikTok Shop">
          <a:extLst>
            <a:ext uri="{FF2B5EF4-FFF2-40B4-BE49-F238E27FC236}">
              <a16:creationId xmlns:a16="http://schemas.microsoft.com/office/drawing/2014/main" id="{EA16CBA1-4987-4A69-B5B2-43E7413ABBCD}"/>
            </a:ext>
          </a:extLst>
        </xdr:cNvPr>
        <xdr:cNvSpPr>
          <a:spLocks noChangeAspect="1" noChangeArrowheads="1"/>
        </xdr:cNvSpPr>
      </xdr:nvSpPr>
      <xdr:spPr bwMode="auto">
        <a:xfrm>
          <a:off x="205154" y="6843346"/>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294426" cy="311400"/>
    <xdr:sp macro="" textlink="">
      <xdr:nvSpPr>
        <xdr:cNvPr id="230" name="AutoShape 3" descr="asian paints colour ideas - TikTok Shop">
          <a:extLst>
            <a:ext uri="{FF2B5EF4-FFF2-40B4-BE49-F238E27FC236}">
              <a16:creationId xmlns:a16="http://schemas.microsoft.com/office/drawing/2014/main" id="{5F24B30A-EB0C-4425-90F8-794997F6A381}"/>
            </a:ext>
          </a:extLst>
        </xdr:cNvPr>
        <xdr:cNvSpPr>
          <a:spLocks noChangeAspect="1" noChangeArrowheads="1"/>
        </xdr:cNvSpPr>
      </xdr:nvSpPr>
      <xdr:spPr bwMode="auto">
        <a:xfrm>
          <a:off x="205154" y="6843346"/>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294426" cy="311400"/>
    <xdr:sp macro="" textlink="">
      <xdr:nvSpPr>
        <xdr:cNvPr id="231" name="AutoShape 4" descr="asian paints colour ideas - TikTok Shop">
          <a:extLst>
            <a:ext uri="{FF2B5EF4-FFF2-40B4-BE49-F238E27FC236}">
              <a16:creationId xmlns:a16="http://schemas.microsoft.com/office/drawing/2014/main" id="{E6296F70-7FBA-466C-8C59-F9ECB5F3FFFC}"/>
            </a:ext>
          </a:extLst>
        </xdr:cNvPr>
        <xdr:cNvSpPr>
          <a:spLocks noChangeAspect="1" noChangeArrowheads="1"/>
        </xdr:cNvSpPr>
      </xdr:nvSpPr>
      <xdr:spPr bwMode="auto">
        <a:xfrm>
          <a:off x="205154" y="6843346"/>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294426" cy="311400"/>
    <xdr:sp macro="" textlink="">
      <xdr:nvSpPr>
        <xdr:cNvPr id="232" name="AutoShape 2" descr="asian paints colour ideas - TikTok Shop">
          <a:extLst>
            <a:ext uri="{FF2B5EF4-FFF2-40B4-BE49-F238E27FC236}">
              <a16:creationId xmlns:a16="http://schemas.microsoft.com/office/drawing/2014/main" id="{73027F01-036F-47E0-9BC7-1EF5BAC4D7F1}"/>
            </a:ext>
          </a:extLst>
        </xdr:cNvPr>
        <xdr:cNvSpPr>
          <a:spLocks noChangeAspect="1" noChangeArrowheads="1"/>
        </xdr:cNvSpPr>
      </xdr:nvSpPr>
      <xdr:spPr bwMode="auto">
        <a:xfrm>
          <a:off x="205154" y="6843346"/>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294426" cy="311400"/>
    <xdr:sp macro="" textlink="">
      <xdr:nvSpPr>
        <xdr:cNvPr id="233" name="AutoShape 3" descr="asian paints colour ideas - TikTok Shop">
          <a:extLst>
            <a:ext uri="{FF2B5EF4-FFF2-40B4-BE49-F238E27FC236}">
              <a16:creationId xmlns:a16="http://schemas.microsoft.com/office/drawing/2014/main" id="{000A822C-644A-497D-86D1-FE3D25AB2DEE}"/>
            </a:ext>
          </a:extLst>
        </xdr:cNvPr>
        <xdr:cNvSpPr>
          <a:spLocks noChangeAspect="1" noChangeArrowheads="1"/>
        </xdr:cNvSpPr>
      </xdr:nvSpPr>
      <xdr:spPr bwMode="auto">
        <a:xfrm>
          <a:off x="205154" y="6843346"/>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294426" cy="311400"/>
    <xdr:sp macro="" textlink="">
      <xdr:nvSpPr>
        <xdr:cNvPr id="234" name="AutoShape 4" descr="asian paints colour ideas - TikTok Shop">
          <a:extLst>
            <a:ext uri="{FF2B5EF4-FFF2-40B4-BE49-F238E27FC236}">
              <a16:creationId xmlns:a16="http://schemas.microsoft.com/office/drawing/2014/main" id="{2E120643-7535-4B7A-90F9-8135E31E9169}"/>
            </a:ext>
          </a:extLst>
        </xdr:cNvPr>
        <xdr:cNvSpPr>
          <a:spLocks noChangeAspect="1" noChangeArrowheads="1"/>
        </xdr:cNvSpPr>
      </xdr:nvSpPr>
      <xdr:spPr bwMode="auto">
        <a:xfrm>
          <a:off x="205154" y="6843346"/>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0</xdr:colOff>
      <xdr:row>38</xdr:row>
      <xdr:rowOff>0</xdr:rowOff>
    </xdr:from>
    <xdr:ext cx="294426" cy="312987"/>
    <xdr:sp macro="" textlink="">
      <xdr:nvSpPr>
        <xdr:cNvPr id="7" name="AutoShape 2" descr="asian paints colour ideas - TikTok Shop">
          <a:extLst>
            <a:ext uri="{FF2B5EF4-FFF2-40B4-BE49-F238E27FC236}">
              <a16:creationId xmlns:a16="http://schemas.microsoft.com/office/drawing/2014/main" id="{7BAFA56C-3FCD-4C64-8407-847126CFD2D8}"/>
            </a:ext>
          </a:extLst>
        </xdr:cNvPr>
        <xdr:cNvSpPr>
          <a:spLocks noChangeAspect="1" noChangeArrowheads="1"/>
        </xdr:cNvSpPr>
      </xdr:nvSpPr>
      <xdr:spPr bwMode="auto">
        <a:xfrm>
          <a:off x="6926036" y="6817179"/>
          <a:ext cx="294426" cy="3129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0</xdr:colOff>
      <xdr:row>38</xdr:row>
      <xdr:rowOff>0</xdr:rowOff>
    </xdr:from>
    <xdr:ext cx="294426" cy="312987"/>
    <xdr:sp macro="" textlink="">
      <xdr:nvSpPr>
        <xdr:cNvPr id="8" name="AutoShape 3" descr="asian paints colour ideas - TikTok Shop">
          <a:extLst>
            <a:ext uri="{FF2B5EF4-FFF2-40B4-BE49-F238E27FC236}">
              <a16:creationId xmlns:a16="http://schemas.microsoft.com/office/drawing/2014/main" id="{9B4C39A3-58C7-4BF1-999E-DA756E6A101F}"/>
            </a:ext>
          </a:extLst>
        </xdr:cNvPr>
        <xdr:cNvSpPr>
          <a:spLocks noChangeAspect="1" noChangeArrowheads="1"/>
        </xdr:cNvSpPr>
      </xdr:nvSpPr>
      <xdr:spPr bwMode="auto">
        <a:xfrm>
          <a:off x="6926036" y="6817179"/>
          <a:ext cx="294426" cy="3129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0</xdr:colOff>
      <xdr:row>38</xdr:row>
      <xdr:rowOff>0</xdr:rowOff>
    </xdr:from>
    <xdr:ext cx="294426" cy="312987"/>
    <xdr:sp macro="" textlink="">
      <xdr:nvSpPr>
        <xdr:cNvPr id="9" name="AutoShape 4" descr="asian paints colour ideas - TikTok Shop">
          <a:extLst>
            <a:ext uri="{FF2B5EF4-FFF2-40B4-BE49-F238E27FC236}">
              <a16:creationId xmlns:a16="http://schemas.microsoft.com/office/drawing/2014/main" id="{CD088B3B-EA05-49C5-80D8-76C750CEC477}"/>
            </a:ext>
          </a:extLst>
        </xdr:cNvPr>
        <xdr:cNvSpPr>
          <a:spLocks noChangeAspect="1" noChangeArrowheads="1"/>
        </xdr:cNvSpPr>
      </xdr:nvSpPr>
      <xdr:spPr bwMode="auto">
        <a:xfrm>
          <a:off x="6926036" y="6817179"/>
          <a:ext cx="294426" cy="3129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0</xdr:colOff>
      <xdr:row>38</xdr:row>
      <xdr:rowOff>0</xdr:rowOff>
    </xdr:from>
    <xdr:ext cx="294426" cy="311400"/>
    <xdr:sp macro="" textlink="">
      <xdr:nvSpPr>
        <xdr:cNvPr id="10" name="AutoShape 2" descr="asian paints colour ideas - TikTok Shop">
          <a:extLst>
            <a:ext uri="{FF2B5EF4-FFF2-40B4-BE49-F238E27FC236}">
              <a16:creationId xmlns:a16="http://schemas.microsoft.com/office/drawing/2014/main" id="{9C623356-E7FA-4063-BEBC-6FA5E99E84BD}"/>
            </a:ext>
          </a:extLst>
        </xdr:cNvPr>
        <xdr:cNvSpPr>
          <a:spLocks noChangeAspect="1" noChangeArrowheads="1"/>
        </xdr:cNvSpPr>
      </xdr:nvSpPr>
      <xdr:spPr bwMode="auto">
        <a:xfrm>
          <a:off x="6926036" y="6817179"/>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0</xdr:colOff>
      <xdr:row>38</xdr:row>
      <xdr:rowOff>0</xdr:rowOff>
    </xdr:from>
    <xdr:ext cx="294426" cy="311400"/>
    <xdr:sp macro="" textlink="">
      <xdr:nvSpPr>
        <xdr:cNvPr id="11" name="AutoShape 3" descr="asian paints colour ideas - TikTok Shop">
          <a:extLst>
            <a:ext uri="{FF2B5EF4-FFF2-40B4-BE49-F238E27FC236}">
              <a16:creationId xmlns:a16="http://schemas.microsoft.com/office/drawing/2014/main" id="{29A1102C-E859-4885-A892-1D44613C61CC}"/>
            </a:ext>
          </a:extLst>
        </xdr:cNvPr>
        <xdr:cNvSpPr>
          <a:spLocks noChangeAspect="1" noChangeArrowheads="1"/>
        </xdr:cNvSpPr>
      </xdr:nvSpPr>
      <xdr:spPr bwMode="auto">
        <a:xfrm>
          <a:off x="6926036" y="6817179"/>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0</xdr:colOff>
      <xdr:row>38</xdr:row>
      <xdr:rowOff>0</xdr:rowOff>
    </xdr:from>
    <xdr:ext cx="294426" cy="311400"/>
    <xdr:sp macro="" textlink="">
      <xdr:nvSpPr>
        <xdr:cNvPr id="12" name="AutoShape 4" descr="asian paints colour ideas - TikTok Shop">
          <a:extLst>
            <a:ext uri="{FF2B5EF4-FFF2-40B4-BE49-F238E27FC236}">
              <a16:creationId xmlns:a16="http://schemas.microsoft.com/office/drawing/2014/main" id="{92EACE76-FEC4-48A4-8A79-9204A618EB6F}"/>
            </a:ext>
          </a:extLst>
        </xdr:cNvPr>
        <xdr:cNvSpPr>
          <a:spLocks noChangeAspect="1" noChangeArrowheads="1"/>
        </xdr:cNvSpPr>
      </xdr:nvSpPr>
      <xdr:spPr bwMode="auto">
        <a:xfrm>
          <a:off x="6926036" y="6817179"/>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43</xdr:row>
      <xdr:rowOff>0</xdr:rowOff>
    </xdr:from>
    <xdr:ext cx="294426" cy="316177"/>
    <xdr:sp macro="" textlink="">
      <xdr:nvSpPr>
        <xdr:cNvPr id="13" name="AutoShape 2" descr="asian paints colour ideas - TikTok Shop">
          <a:extLst>
            <a:ext uri="{FF2B5EF4-FFF2-40B4-BE49-F238E27FC236}">
              <a16:creationId xmlns:a16="http://schemas.microsoft.com/office/drawing/2014/main" id="{44208B5B-0F21-46ED-AF02-ECFD0E0BB8C2}"/>
            </a:ext>
          </a:extLst>
        </xdr:cNvPr>
        <xdr:cNvSpPr>
          <a:spLocks noChangeAspect="1" noChangeArrowheads="1"/>
        </xdr:cNvSpPr>
      </xdr:nvSpPr>
      <xdr:spPr bwMode="auto">
        <a:xfrm>
          <a:off x="204107" y="5483679"/>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43</xdr:row>
      <xdr:rowOff>0</xdr:rowOff>
    </xdr:from>
    <xdr:ext cx="294426" cy="316177"/>
    <xdr:sp macro="" textlink="">
      <xdr:nvSpPr>
        <xdr:cNvPr id="14" name="AutoShape 3" descr="asian paints colour ideas - TikTok Shop">
          <a:extLst>
            <a:ext uri="{FF2B5EF4-FFF2-40B4-BE49-F238E27FC236}">
              <a16:creationId xmlns:a16="http://schemas.microsoft.com/office/drawing/2014/main" id="{A324E576-8FD6-4D06-833B-B2C9BE03F9C7}"/>
            </a:ext>
          </a:extLst>
        </xdr:cNvPr>
        <xdr:cNvSpPr>
          <a:spLocks noChangeAspect="1" noChangeArrowheads="1"/>
        </xdr:cNvSpPr>
      </xdr:nvSpPr>
      <xdr:spPr bwMode="auto">
        <a:xfrm>
          <a:off x="204107" y="5483679"/>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43</xdr:row>
      <xdr:rowOff>0</xdr:rowOff>
    </xdr:from>
    <xdr:ext cx="294426" cy="316177"/>
    <xdr:sp macro="" textlink="">
      <xdr:nvSpPr>
        <xdr:cNvPr id="15" name="AutoShape 4" descr="asian paints colour ideas - TikTok Shop">
          <a:extLst>
            <a:ext uri="{FF2B5EF4-FFF2-40B4-BE49-F238E27FC236}">
              <a16:creationId xmlns:a16="http://schemas.microsoft.com/office/drawing/2014/main" id="{06A51463-E433-461E-B7BE-0C6C31EC70BC}"/>
            </a:ext>
          </a:extLst>
        </xdr:cNvPr>
        <xdr:cNvSpPr>
          <a:spLocks noChangeAspect="1" noChangeArrowheads="1"/>
        </xdr:cNvSpPr>
      </xdr:nvSpPr>
      <xdr:spPr bwMode="auto">
        <a:xfrm>
          <a:off x="204107" y="5483679"/>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298630" cy="310746"/>
    <xdr:sp macro="" textlink="">
      <xdr:nvSpPr>
        <xdr:cNvPr id="16" name="AutoShape 2" descr="asian paints colour ideas - TikTok Shop">
          <a:extLst>
            <a:ext uri="{FF2B5EF4-FFF2-40B4-BE49-F238E27FC236}">
              <a16:creationId xmlns:a16="http://schemas.microsoft.com/office/drawing/2014/main" id="{6053EBE2-4B2D-4B9D-BA89-64F023111452}"/>
            </a:ext>
          </a:extLst>
        </xdr:cNvPr>
        <xdr:cNvSpPr>
          <a:spLocks noChangeAspect="1" noChangeArrowheads="1"/>
        </xdr:cNvSpPr>
      </xdr:nvSpPr>
      <xdr:spPr bwMode="auto">
        <a:xfrm>
          <a:off x="204107" y="6817179"/>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298630" cy="310746"/>
    <xdr:sp macro="" textlink="">
      <xdr:nvSpPr>
        <xdr:cNvPr id="17" name="AutoShape 3" descr="asian paints colour ideas - TikTok Shop">
          <a:extLst>
            <a:ext uri="{FF2B5EF4-FFF2-40B4-BE49-F238E27FC236}">
              <a16:creationId xmlns:a16="http://schemas.microsoft.com/office/drawing/2014/main" id="{FE336456-DA01-45C4-B77F-6473C8B32C63}"/>
            </a:ext>
          </a:extLst>
        </xdr:cNvPr>
        <xdr:cNvSpPr>
          <a:spLocks noChangeAspect="1" noChangeArrowheads="1"/>
        </xdr:cNvSpPr>
      </xdr:nvSpPr>
      <xdr:spPr bwMode="auto">
        <a:xfrm>
          <a:off x="204107" y="6817179"/>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298630" cy="310746"/>
    <xdr:sp macro="" textlink="">
      <xdr:nvSpPr>
        <xdr:cNvPr id="18" name="AutoShape 4" descr="asian paints colour ideas - TikTok Shop">
          <a:extLst>
            <a:ext uri="{FF2B5EF4-FFF2-40B4-BE49-F238E27FC236}">
              <a16:creationId xmlns:a16="http://schemas.microsoft.com/office/drawing/2014/main" id="{F451AA89-1FB9-4DC7-A089-3DB477604669}"/>
            </a:ext>
          </a:extLst>
        </xdr:cNvPr>
        <xdr:cNvSpPr>
          <a:spLocks noChangeAspect="1" noChangeArrowheads="1"/>
        </xdr:cNvSpPr>
      </xdr:nvSpPr>
      <xdr:spPr bwMode="auto">
        <a:xfrm>
          <a:off x="204107" y="6817179"/>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294426" cy="311400"/>
    <xdr:sp macro="" textlink="">
      <xdr:nvSpPr>
        <xdr:cNvPr id="22" name="AutoShape 2" descr="asian paints colour ideas - TikTok Shop">
          <a:extLst>
            <a:ext uri="{FF2B5EF4-FFF2-40B4-BE49-F238E27FC236}">
              <a16:creationId xmlns:a16="http://schemas.microsoft.com/office/drawing/2014/main" id="{9A45A045-94BA-4ABD-A517-6BAB1BAA4738}"/>
            </a:ext>
          </a:extLst>
        </xdr:cNvPr>
        <xdr:cNvSpPr>
          <a:spLocks noChangeAspect="1" noChangeArrowheads="1"/>
        </xdr:cNvSpPr>
      </xdr:nvSpPr>
      <xdr:spPr bwMode="auto">
        <a:xfrm>
          <a:off x="204107" y="6817179"/>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294426" cy="311400"/>
    <xdr:sp macro="" textlink="">
      <xdr:nvSpPr>
        <xdr:cNvPr id="23" name="AutoShape 3" descr="asian paints colour ideas - TikTok Shop">
          <a:extLst>
            <a:ext uri="{FF2B5EF4-FFF2-40B4-BE49-F238E27FC236}">
              <a16:creationId xmlns:a16="http://schemas.microsoft.com/office/drawing/2014/main" id="{992E6787-63A8-4872-9037-B21FE74E473A}"/>
            </a:ext>
          </a:extLst>
        </xdr:cNvPr>
        <xdr:cNvSpPr>
          <a:spLocks noChangeAspect="1" noChangeArrowheads="1"/>
        </xdr:cNvSpPr>
      </xdr:nvSpPr>
      <xdr:spPr bwMode="auto">
        <a:xfrm>
          <a:off x="204107" y="6817179"/>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294426" cy="311400"/>
    <xdr:sp macro="" textlink="">
      <xdr:nvSpPr>
        <xdr:cNvPr id="24" name="AutoShape 4" descr="asian paints colour ideas - TikTok Shop">
          <a:extLst>
            <a:ext uri="{FF2B5EF4-FFF2-40B4-BE49-F238E27FC236}">
              <a16:creationId xmlns:a16="http://schemas.microsoft.com/office/drawing/2014/main" id="{11F753A0-F339-46ED-ADFA-66D802B01F5D}"/>
            </a:ext>
          </a:extLst>
        </xdr:cNvPr>
        <xdr:cNvSpPr>
          <a:spLocks noChangeAspect="1" noChangeArrowheads="1"/>
        </xdr:cNvSpPr>
      </xdr:nvSpPr>
      <xdr:spPr bwMode="auto">
        <a:xfrm>
          <a:off x="204107" y="6817179"/>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294426" cy="311400"/>
    <xdr:sp macro="" textlink="">
      <xdr:nvSpPr>
        <xdr:cNvPr id="25" name="AutoShape 2" descr="asian paints colour ideas - TikTok Shop">
          <a:extLst>
            <a:ext uri="{FF2B5EF4-FFF2-40B4-BE49-F238E27FC236}">
              <a16:creationId xmlns:a16="http://schemas.microsoft.com/office/drawing/2014/main" id="{A6C9CDEE-C74D-47C0-86FA-3F415D938754}"/>
            </a:ext>
          </a:extLst>
        </xdr:cNvPr>
        <xdr:cNvSpPr>
          <a:spLocks noChangeAspect="1" noChangeArrowheads="1"/>
        </xdr:cNvSpPr>
      </xdr:nvSpPr>
      <xdr:spPr bwMode="auto">
        <a:xfrm>
          <a:off x="204107" y="6817179"/>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294426" cy="311400"/>
    <xdr:sp macro="" textlink="">
      <xdr:nvSpPr>
        <xdr:cNvPr id="26" name="AutoShape 3" descr="asian paints colour ideas - TikTok Shop">
          <a:extLst>
            <a:ext uri="{FF2B5EF4-FFF2-40B4-BE49-F238E27FC236}">
              <a16:creationId xmlns:a16="http://schemas.microsoft.com/office/drawing/2014/main" id="{A6DA97BE-35D3-4AA5-9C50-37104CA7831A}"/>
            </a:ext>
          </a:extLst>
        </xdr:cNvPr>
        <xdr:cNvSpPr>
          <a:spLocks noChangeAspect="1" noChangeArrowheads="1"/>
        </xdr:cNvSpPr>
      </xdr:nvSpPr>
      <xdr:spPr bwMode="auto">
        <a:xfrm>
          <a:off x="204107" y="6817179"/>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294426" cy="311400"/>
    <xdr:sp macro="" textlink="">
      <xdr:nvSpPr>
        <xdr:cNvPr id="27" name="AutoShape 4" descr="asian paints colour ideas - TikTok Shop">
          <a:extLst>
            <a:ext uri="{FF2B5EF4-FFF2-40B4-BE49-F238E27FC236}">
              <a16:creationId xmlns:a16="http://schemas.microsoft.com/office/drawing/2014/main" id="{4F4D14AB-F363-4BA7-9B0E-998A6346E03C}"/>
            </a:ext>
          </a:extLst>
        </xdr:cNvPr>
        <xdr:cNvSpPr>
          <a:spLocks noChangeAspect="1" noChangeArrowheads="1"/>
        </xdr:cNvSpPr>
      </xdr:nvSpPr>
      <xdr:spPr bwMode="auto">
        <a:xfrm>
          <a:off x="204107" y="6817179"/>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298630" cy="310746"/>
    <xdr:sp macro="" textlink="">
      <xdr:nvSpPr>
        <xdr:cNvPr id="31" name="AutoShape 2" descr="asian paints colour ideas - TikTok Shop">
          <a:extLst>
            <a:ext uri="{FF2B5EF4-FFF2-40B4-BE49-F238E27FC236}">
              <a16:creationId xmlns:a16="http://schemas.microsoft.com/office/drawing/2014/main" id="{0126ACA4-6D14-4E6C-BA1B-C605FE54B213}"/>
            </a:ext>
          </a:extLst>
        </xdr:cNvPr>
        <xdr:cNvSpPr>
          <a:spLocks noChangeAspect="1" noChangeArrowheads="1"/>
        </xdr:cNvSpPr>
      </xdr:nvSpPr>
      <xdr:spPr bwMode="auto">
        <a:xfrm>
          <a:off x="204107" y="6817179"/>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298630" cy="310746"/>
    <xdr:sp macro="" textlink="">
      <xdr:nvSpPr>
        <xdr:cNvPr id="32" name="AutoShape 3" descr="asian paints colour ideas - TikTok Shop">
          <a:extLst>
            <a:ext uri="{FF2B5EF4-FFF2-40B4-BE49-F238E27FC236}">
              <a16:creationId xmlns:a16="http://schemas.microsoft.com/office/drawing/2014/main" id="{4AEAC052-4A1B-4163-917B-BABD5CF28A77}"/>
            </a:ext>
          </a:extLst>
        </xdr:cNvPr>
        <xdr:cNvSpPr>
          <a:spLocks noChangeAspect="1" noChangeArrowheads="1"/>
        </xdr:cNvSpPr>
      </xdr:nvSpPr>
      <xdr:spPr bwMode="auto">
        <a:xfrm>
          <a:off x="204107" y="6817179"/>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298630" cy="310746"/>
    <xdr:sp macro="" textlink="">
      <xdr:nvSpPr>
        <xdr:cNvPr id="33" name="AutoShape 4" descr="asian paints colour ideas - TikTok Shop">
          <a:extLst>
            <a:ext uri="{FF2B5EF4-FFF2-40B4-BE49-F238E27FC236}">
              <a16:creationId xmlns:a16="http://schemas.microsoft.com/office/drawing/2014/main" id="{0FD2117B-CC2C-4542-B5E2-05E941B429EE}"/>
            </a:ext>
          </a:extLst>
        </xdr:cNvPr>
        <xdr:cNvSpPr>
          <a:spLocks noChangeAspect="1" noChangeArrowheads="1"/>
        </xdr:cNvSpPr>
      </xdr:nvSpPr>
      <xdr:spPr bwMode="auto">
        <a:xfrm>
          <a:off x="204107" y="6817179"/>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294426" cy="311400"/>
    <xdr:sp macro="" textlink="">
      <xdr:nvSpPr>
        <xdr:cNvPr id="37" name="AutoShape 2" descr="asian paints colour ideas - TikTok Shop">
          <a:extLst>
            <a:ext uri="{FF2B5EF4-FFF2-40B4-BE49-F238E27FC236}">
              <a16:creationId xmlns:a16="http://schemas.microsoft.com/office/drawing/2014/main" id="{88ED523E-9FF4-4F64-8998-A0E2AEF38E38}"/>
            </a:ext>
          </a:extLst>
        </xdr:cNvPr>
        <xdr:cNvSpPr>
          <a:spLocks noChangeAspect="1" noChangeArrowheads="1"/>
        </xdr:cNvSpPr>
      </xdr:nvSpPr>
      <xdr:spPr bwMode="auto">
        <a:xfrm>
          <a:off x="204107" y="6817179"/>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294426" cy="311400"/>
    <xdr:sp macro="" textlink="">
      <xdr:nvSpPr>
        <xdr:cNvPr id="38" name="AutoShape 3" descr="asian paints colour ideas - TikTok Shop">
          <a:extLst>
            <a:ext uri="{FF2B5EF4-FFF2-40B4-BE49-F238E27FC236}">
              <a16:creationId xmlns:a16="http://schemas.microsoft.com/office/drawing/2014/main" id="{6B359EB2-A494-4A85-9C6D-588F5CE80339}"/>
            </a:ext>
          </a:extLst>
        </xdr:cNvPr>
        <xdr:cNvSpPr>
          <a:spLocks noChangeAspect="1" noChangeArrowheads="1"/>
        </xdr:cNvSpPr>
      </xdr:nvSpPr>
      <xdr:spPr bwMode="auto">
        <a:xfrm>
          <a:off x="204107" y="6817179"/>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294426" cy="311400"/>
    <xdr:sp macro="" textlink="">
      <xdr:nvSpPr>
        <xdr:cNvPr id="39" name="AutoShape 4" descr="asian paints colour ideas - TikTok Shop">
          <a:extLst>
            <a:ext uri="{FF2B5EF4-FFF2-40B4-BE49-F238E27FC236}">
              <a16:creationId xmlns:a16="http://schemas.microsoft.com/office/drawing/2014/main" id="{E0B2290D-3C81-455D-9FF0-0CC198EB6E1D}"/>
            </a:ext>
          </a:extLst>
        </xdr:cNvPr>
        <xdr:cNvSpPr>
          <a:spLocks noChangeAspect="1" noChangeArrowheads="1"/>
        </xdr:cNvSpPr>
      </xdr:nvSpPr>
      <xdr:spPr bwMode="auto">
        <a:xfrm>
          <a:off x="204107" y="6817179"/>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294426" cy="311400"/>
    <xdr:sp macro="" textlink="">
      <xdr:nvSpPr>
        <xdr:cNvPr id="40" name="AutoShape 2" descr="asian paints colour ideas - TikTok Shop">
          <a:extLst>
            <a:ext uri="{FF2B5EF4-FFF2-40B4-BE49-F238E27FC236}">
              <a16:creationId xmlns:a16="http://schemas.microsoft.com/office/drawing/2014/main" id="{A94A40D4-AAF4-468F-9F7C-D5668BAAE99B}"/>
            </a:ext>
          </a:extLst>
        </xdr:cNvPr>
        <xdr:cNvSpPr>
          <a:spLocks noChangeAspect="1" noChangeArrowheads="1"/>
        </xdr:cNvSpPr>
      </xdr:nvSpPr>
      <xdr:spPr bwMode="auto">
        <a:xfrm>
          <a:off x="204107" y="6817179"/>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294426" cy="311400"/>
    <xdr:sp macro="" textlink="">
      <xdr:nvSpPr>
        <xdr:cNvPr id="41" name="AutoShape 3" descr="asian paints colour ideas - TikTok Shop">
          <a:extLst>
            <a:ext uri="{FF2B5EF4-FFF2-40B4-BE49-F238E27FC236}">
              <a16:creationId xmlns:a16="http://schemas.microsoft.com/office/drawing/2014/main" id="{7FBB9271-026E-4E06-956C-6DDC6C02DF66}"/>
            </a:ext>
          </a:extLst>
        </xdr:cNvPr>
        <xdr:cNvSpPr>
          <a:spLocks noChangeAspect="1" noChangeArrowheads="1"/>
        </xdr:cNvSpPr>
      </xdr:nvSpPr>
      <xdr:spPr bwMode="auto">
        <a:xfrm>
          <a:off x="204107" y="6817179"/>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294426" cy="311400"/>
    <xdr:sp macro="" textlink="">
      <xdr:nvSpPr>
        <xdr:cNvPr id="42" name="AutoShape 4" descr="asian paints colour ideas - TikTok Shop">
          <a:extLst>
            <a:ext uri="{FF2B5EF4-FFF2-40B4-BE49-F238E27FC236}">
              <a16:creationId xmlns:a16="http://schemas.microsoft.com/office/drawing/2014/main" id="{A40276E0-A76B-4CDB-A3EB-0044385C9A24}"/>
            </a:ext>
          </a:extLst>
        </xdr:cNvPr>
        <xdr:cNvSpPr>
          <a:spLocks noChangeAspect="1" noChangeArrowheads="1"/>
        </xdr:cNvSpPr>
      </xdr:nvSpPr>
      <xdr:spPr bwMode="auto">
        <a:xfrm>
          <a:off x="204107" y="6817179"/>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43</xdr:row>
      <xdr:rowOff>0</xdr:rowOff>
    </xdr:from>
    <xdr:ext cx="294426" cy="316177"/>
    <xdr:sp macro="" textlink="">
      <xdr:nvSpPr>
        <xdr:cNvPr id="43" name="AutoShape 2" descr="asian paints colour ideas - TikTok Shop">
          <a:extLst>
            <a:ext uri="{FF2B5EF4-FFF2-40B4-BE49-F238E27FC236}">
              <a16:creationId xmlns:a16="http://schemas.microsoft.com/office/drawing/2014/main" id="{FB6A4BEB-2D3F-4C2E-B64C-F0D5856F3EAD}"/>
            </a:ext>
          </a:extLst>
        </xdr:cNvPr>
        <xdr:cNvSpPr>
          <a:spLocks noChangeAspect="1" noChangeArrowheads="1"/>
        </xdr:cNvSpPr>
      </xdr:nvSpPr>
      <xdr:spPr bwMode="auto">
        <a:xfrm>
          <a:off x="205619" y="10643810"/>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43</xdr:row>
      <xdr:rowOff>0</xdr:rowOff>
    </xdr:from>
    <xdr:ext cx="294426" cy="316177"/>
    <xdr:sp macro="" textlink="">
      <xdr:nvSpPr>
        <xdr:cNvPr id="44" name="AutoShape 3" descr="asian paints colour ideas - TikTok Shop">
          <a:extLst>
            <a:ext uri="{FF2B5EF4-FFF2-40B4-BE49-F238E27FC236}">
              <a16:creationId xmlns:a16="http://schemas.microsoft.com/office/drawing/2014/main" id="{466A0DF5-0BE9-414F-A697-A852D2D3A1C6}"/>
            </a:ext>
          </a:extLst>
        </xdr:cNvPr>
        <xdr:cNvSpPr>
          <a:spLocks noChangeAspect="1" noChangeArrowheads="1"/>
        </xdr:cNvSpPr>
      </xdr:nvSpPr>
      <xdr:spPr bwMode="auto">
        <a:xfrm>
          <a:off x="205619" y="10643810"/>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43</xdr:row>
      <xdr:rowOff>0</xdr:rowOff>
    </xdr:from>
    <xdr:ext cx="294426" cy="316177"/>
    <xdr:sp macro="" textlink="">
      <xdr:nvSpPr>
        <xdr:cNvPr id="45" name="AutoShape 4" descr="asian paints colour ideas - TikTok Shop">
          <a:extLst>
            <a:ext uri="{FF2B5EF4-FFF2-40B4-BE49-F238E27FC236}">
              <a16:creationId xmlns:a16="http://schemas.microsoft.com/office/drawing/2014/main" id="{BAF0315E-2830-4545-8755-42D54C30562E}"/>
            </a:ext>
          </a:extLst>
        </xdr:cNvPr>
        <xdr:cNvSpPr>
          <a:spLocks noChangeAspect="1" noChangeArrowheads="1"/>
        </xdr:cNvSpPr>
      </xdr:nvSpPr>
      <xdr:spPr bwMode="auto">
        <a:xfrm>
          <a:off x="205619" y="10643810"/>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43</xdr:row>
      <xdr:rowOff>0</xdr:rowOff>
    </xdr:from>
    <xdr:ext cx="294426" cy="311400"/>
    <xdr:sp macro="" textlink="">
      <xdr:nvSpPr>
        <xdr:cNvPr id="46" name="AutoShape 2" descr="asian paints colour ideas - TikTok Shop">
          <a:extLst>
            <a:ext uri="{FF2B5EF4-FFF2-40B4-BE49-F238E27FC236}">
              <a16:creationId xmlns:a16="http://schemas.microsoft.com/office/drawing/2014/main" id="{C680DE54-49F8-4A2B-9FC4-2FBCAF89CA08}"/>
            </a:ext>
          </a:extLst>
        </xdr:cNvPr>
        <xdr:cNvSpPr>
          <a:spLocks noChangeAspect="1" noChangeArrowheads="1"/>
        </xdr:cNvSpPr>
      </xdr:nvSpPr>
      <xdr:spPr bwMode="auto">
        <a:xfrm>
          <a:off x="205619" y="10643810"/>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43</xdr:row>
      <xdr:rowOff>0</xdr:rowOff>
    </xdr:from>
    <xdr:ext cx="294426" cy="311400"/>
    <xdr:sp macro="" textlink="">
      <xdr:nvSpPr>
        <xdr:cNvPr id="47" name="AutoShape 3" descr="asian paints colour ideas - TikTok Shop">
          <a:extLst>
            <a:ext uri="{FF2B5EF4-FFF2-40B4-BE49-F238E27FC236}">
              <a16:creationId xmlns:a16="http://schemas.microsoft.com/office/drawing/2014/main" id="{E62BE0C7-7760-4D1A-99AA-E7C5C59137DA}"/>
            </a:ext>
          </a:extLst>
        </xdr:cNvPr>
        <xdr:cNvSpPr>
          <a:spLocks noChangeAspect="1" noChangeArrowheads="1"/>
        </xdr:cNvSpPr>
      </xdr:nvSpPr>
      <xdr:spPr bwMode="auto">
        <a:xfrm>
          <a:off x="205619" y="10643810"/>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43</xdr:row>
      <xdr:rowOff>0</xdr:rowOff>
    </xdr:from>
    <xdr:ext cx="294426" cy="311400"/>
    <xdr:sp macro="" textlink="">
      <xdr:nvSpPr>
        <xdr:cNvPr id="48" name="AutoShape 4" descr="asian paints colour ideas - TikTok Shop">
          <a:extLst>
            <a:ext uri="{FF2B5EF4-FFF2-40B4-BE49-F238E27FC236}">
              <a16:creationId xmlns:a16="http://schemas.microsoft.com/office/drawing/2014/main" id="{B93FA758-69E4-4306-9910-E56685AAED73}"/>
            </a:ext>
          </a:extLst>
        </xdr:cNvPr>
        <xdr:cNvSpPr>
          <a:spLocks noChangeAspect="1" noChangeArrowheads="1"/>
        </xdr:cNvSpPr>
      </xdr:nvSpPr>
      <xdr:spPr bwMode="auto">
        <a:xfrm>
          <a:off x="205619" y="10643810"/>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43</xdr:row>
      <xdr:rowOff>0</xdr:rowOff>
    </xdr:from>
    <xdr:ext cx="294426" cy="312020"/>
    <xdr:sp macro="" textlink="">
      <xdr:nvSpPr>
        <xdr:cNvPr id="49" name="AutoShape 2" descr="asian paints colour ideas - TikTok Shop">
          <a:extLst>
            <a:ext uri="{FF2B5EF4-FFF2-40B4-BE49-F238E27FC236}">
              <a16:creationId xmlns:a16="http://schemas.microsoft.com/office/drawing/2014/main" id="{F9A59C01-3E6C-4F39-A05D-20286B2924E7}"/>
            </a:ext>
          </a:extLst>
        </xdr:cNvPr>
        <xdr:cNvSpPr>
          <a:spLocks noChangeAspect="1" noChangeArrowheads="1"/>
        </xdr:cNvSpPr>
      </xdr:nvSpPr>
      <xdr:spPr bwMode="auto">
        <a:xfrm>
          <a:off x="205619" y="10643810"/>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43</xdr:row>
      <xdr:rowOff>0</xdr:rowOff>
    </xdr:from>
    <xdr:ext cx="294426" cy="312020"/>
    <xdr:sp macro="" textlink="">
      <xdr:nvSpPr>
        <xdr:cNvPr id="50" name="AutoShape 3" descr="asian paints colour ideas - TikTok Shop">
          <a:extLst>
            <a:ext uri="{FF2B5EF4-FFF2-40B4-BE49-F238E27FC236}">
              <a16:creationId xmlns:a16="http://schemas.microsoft.com/office/drawing/2014/main" id="{243477E8-887E-4B37-94C0-2205C237EED0}"/>
            </a:ext>
          </a:extLst>
        </xdr:cNvPr>
        <xdr:cNvSpPr>
          <a:spLocks noChangeAspect="1" noChangeArrowheads="1"/>
        </xdr:cNvSpPr>
      </xdr:nvSpPr>
      <xdr:spPr bwMode="auto">
        <a:xfrm>
          <a:off x="205619" y="10643810"/>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44</xdr:row>
      <xdr:rowOff>0</xdr:rowOff>
    </xdr:from>
    <xdr:ext cx="294426" cy="316177"/>
    <xdr:sp macro="" textlink="">
      <xdr:nvSpPr>
        <xdr:cNvPr id="55" name="AutoShape 2" descr="asian paints colour ideas - TikTok Shop">
          <a:extLst>
            <a:ext uri="{FF2B5EF4-FFF2-40B4-BE49-F238E27FC236}">
              <a16:creationId xmlns:a16="http://schemas.microsoft.com/office/drawing/2014/main" id="{F6555B00-A4B2-4011-BBC5-51E7917AD273}"/>
            </a:ext>
          </a:extLst>
        </xdr:cNvPr>
        <xdr:cNvSpPr>
          <a:spLocks noChangeAspect="1" noChangeArrowheads="1"/>
        </xdr:cNvSpPr>
      </xdr:nvSpPr>
      <xdr:spPr bwMode="auto">
        <a:xfrm>
          <a:off x="207818" y="13277273"/>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44</xdr:row>
      <xdr:rowOff>0</xdr:rowOff>
    </xdr:from>
    <xdr:ext cx="294426" cy="316177"/>
    <xdr:sp macro="" textlink="">
      <xdr:nvSpPr>
        <xdr:cNvPr id="56" name="AutoShape 3" descr="asian paints colour ideas - TikTok Shop">
          <a:extLst>
            <a:ext uri="{FF2B5EF4-FFF2-40B4-BE49-F238E27FC236}">
              <a16:creationId xmlns:a16="http://schemas.microsoft.com/office/drawing/2014/main" id="{BEA96773-296C-4344-A662-279AD7303B71}"/>
            </a:ext>
          </a:extLst>
        </xdr:cNvPr>
        <xdr:cNvSpPr>
          <a:spLocks noChangeAspect="1" noChangeArrowheads="1"/>
        </xdr:cNvSpPr>
      </xdr:nvSpPr>
      <xdr:spPr bwMode="auto">
        <a:xfrm>
          <a:off x="207818" y="13277273"/>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44</xdr:row>
      <xdr:rowOff>0</xdr:rowOff>
    </xdr:from>
    <xdr:ext cx="294426" cy="316177"/>
    <xdr:sp macro="" textlink="">
      <xdr:nvSpPr>
        <xdr:cNvPr id="57" name="AutoShape 4" descr="asian paints colour ideas - TikTok Shop">
          <a:extLst>
            <a:ext uri="{FF2B5EF4-FFF2-40B4-BE49-F238E27FC236}">
              <a16:creationId xmlns:a16="http://schemas.microsoft.com/office/drawing/2014/main" id="{7D34943D-F00B-43C3-9A2D-757B47B14029}"/>
            </a:ext>
          </a:extLst>
        </xdr:cNvPr>
        <xdr:cNvSpPr>
          <a:spLocks noChangeAspect="1" noChangeArrowheads="1"/>
        </xdr:cNvSpPr>
      </xdr:nvSpPr>
      <xdr:spPr bwMode="auto">
        <a:xfrm>
          <a:off x="207818" y="13277273"/>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44</xdr:row>
      <xdr:rowOff>0</xdr:rowOff>
    </xdr:from>
    <xdr:ext cx="294426" cy="311400"/>
    <xdr:sp macro="" textlink="">
      <xdr:nvSpPr>
        <xdr:cNvPr id="58" name="AutoShape 2" descr="asian paints colour ideas - TikTok Shop">
          <a:extLst>
            <a:ext uri="{FF2B5EF4-FFF2-40B4-BE49-F238E27FC236}">
              <a16:creationId xmlns:a16="http://schemas.microsoft.com/office/drawing/2014/main" id="{55955042-1764-48B1-8095-6C063EA2E249}"/>
            </a:ext>
          </a:extLst>
        </xdr:cNvPr>
        <xdr:cNvSpPr>
          <a:spLocks noChangeAspect="1" noChangeArrowheads="1"/>
        </xdr:cNvSpPr>
      </xdr:nvSpPr>
      <xdr:spPr bwMode="auto">
        <a:xfrm>
          <a:off x="207818" y="13277273"/>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44</xdr:row>
      <xdr:rowOff>0</xdr:rowOff>
    </xdr:from>
    <xdr:ext cx="294426" cy="311400"/>
    <xdr:sp macro="" textlink="">
      <xdr:nvSpPr>
        <xdr:cNvPr id="59" name="AutoShape 3" descr="asian paints colour ideas - TikTok Shop">
          <a:extLst>
            <a:ext uri="{FF2B5EF4-FFF2-40B4-BE49-F238E27FC236}">
              <a16:creationId xmlns:a16="http://schemas.microsoft.com/office/drawing/2014/main" id="{A938C423-FB51-4894-9405-9258734819F3}"/>
            </a:ext>
          </a:extLst>
        </xdr:cNvPr>
        <xdr:cNvSpPr>
          <a:spLocks noChangeAspect="1" noChangeArrowheads="1"/>
        </xdr:cNvSpPr>
      </xdr:nvSpPr>
      <xdr:spPr bwMode="auto">
        <a:xfrm>
          <a:off x="207818" y="13277273"/>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44</xdr:row>
      <xdr:rowOff>0</xdr:rowOff>
    </xdr:from>
    <xdr:ext cx="294426" cy="311400"/>
    <xdr:sp macro="" textlink="">
      <xdr:nvSpPr>
        <xdr:cNvPr id="60" name="AutoShape 4" descr="asian paints colour ideas - TikTok Shop">
          <a:extLst>
            <a:ext uri="{FF2B5EF4-FFF2-40B4-BE49-F238E27FC236}">
              <a16:creationId xmlns:a16="http://schemas.microsoft.com/office/drawing/2014/main" id="{FB34D1B8-66DE-417E-BBED-C7BF3D87E005}"/>
            </a:ext>
          </a:extLst>
        </xdr:cNvPr>
        <xdr:cNvSpPr>
          <a:spLocks noChangeAspect="1" noChangeArrowheads="1"/>
        </xdr:cNvSpPr>
      </xdr:nvSpPr>
      <xdr:spPr bwMode="auto">
        <a:xfrm>
          <a:off x="207818" y="13277273"/>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44</xdr:row>
      <xdr:rowOff>0</xdr:rowOff>
    </xdr:from>
    <xdr:ext cx="294426" cy="312020"/>
    <xdr:sp macro="" textlink="">
      <xdr:nvSpPr>
        <xdr:cNvPr id="61" name="AutoShape 2" descr="asian paints colour ideas - TikTok Shop">
          <a:extLst>
            <a:ext uri="{FF2B5EF4-FFF2-40B4-BE49-F238E27FC236}">
              <a16:creationId xmlns:a16="http://schemas.microsoft.com/office/drawing/2014/main" id="{851D35C6-1128-4AA5-9B02-6E5BB90E08D6}"/>
            </a:ext>
          </a:extLst>
        </xdr:cNvPr>
        <xdr:cNvSpPr>
          <a:spLocks noChangeAspect="1" noChangeArrowheads="1"/>
        </xdr:cNvSpPr>
      </xdr:nvSpPr>
      <xdr:spPr bwMode="auto">
        <a:xfrm>
          <a:off x="207818" y="13277273"/>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44</xdr:row>
      <xdr:rowOff>0</xdr:rowOff>
    </xdr:from>
    <xdr:ext cx="294426" cy="312020"/>
    <xdr:sp macro="" textlink="">
      <xdr:nvSpPr>
        <xdr:cNvPr id="62" name="AutoShape 3" descr="asian paints colour ideas - TikTok Shop">
          <a:extLst>
            <a:ext uri="{FF2B5EF4-FFF2-40B4-BE49-F238E27FC236}">
              <a16:creationId xmlns:a16="http://schemas.microsoft.com/office/drawing/2014/main" id="{B77CE081-5ED1-41CD-95F1-BAED34C6F5C0}"/>
            </a:ext>
          </a:extLst>
        </xdr:cNvPr>
        <xdr:cNvSpPr>
          <a:spLocks noChangeAspect="1" noChangeArrowheads="1"/>
        </xdr:cNvSpPr>
      </xdr:nvSpPr>
      <xdr:spPr bwMode="auto">
        <a:xfrm>
          <a:off x="207818" y="13277273"/>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45</xdr:row>
      <xdr:rowOff>0</xdr:rowOff>
    </xdr:from>
    <xdr:ext cx="294426" cy="316177"/>
    <xdr:sp macro="" textlink="">
      <xdr:nvSpPr>
        <xdr:cNvPr id="63" name="AutoShape 2" descr="asian paints colour ideas - TikTok Shop">
          <a:extLst>
            <a:ext uri="{FF2B5EF4-FFF2-40B4-BE49-F238E27FC236}">
              <a16:creationId xmlns:a16="http://schemas.microsoft.com/office/drawing/2014/main" id="{323751A0-66FD-4F23-BE60-45D1634DF41F}"/>
            </a:ext>
          </a:extLst>
        </xdr:cNvPr>
        <xdr:cNvSpPr>
          <a:spLocks noChangeAspect="1" noChangeArrowheads="1"/>
        </xdr:cNvSpPr>
      </xdr:nvSpPr>
      <xdr:spPr bwMode="auto">
        <a:xfrm>
          <a:off x="207818" y="13277273"/>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45</xdr:row>
      <xdr:rowOff>0</xdr:rowOff>
    </xdr:from>
    <xdr:ext cx="294426" cy="316177"/>
    <xdr:sp macro="" textlink="">
      <xdr:nvSpPr>
        <xdr:cNvPr id="64" name="AutoShape 3" descr="asian paints colour ideas - TikTok Shop">
          <a:extLst>
            <a:ext uri="{FF2B5EF4-FFF2-40B4-BE49-F238E27FC236}">
              <a16:creationId xmlns:a16="http://schemas.microsoft.com/office/drawing/2014/main" id="{C5AA51A8-4746-468C-9B94-64AB821790F4}"/>
            </a:ext>
          </a:extLst>
        </xdr:cNvPr>
        <xdr:cNvSpPr>
          <a:spLocks noChangeAspect="1" noChangeArrowheads="1"/>
        </xdr:cNvSpPr>
      </xdr:nvSpPr>
      <xdr:spPr bwMode="auto">
        <a:xfrm>
          <a:off x="207818" y="13277273"/>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45</xdr:row>
      <xdr:rowOff>0</xdr:rowOff>
    </xdr:from>
    <xdr:ext cx="294426" cy="316177"/>
    <xdr:sp macro="" textlink="">
      <xdr:nvSpPr>
        <xdr:cNvPr id="65" name="AutoShape 4" descr="asian paints colour ideas - TikTok Shop">
          <a:extLst>
            <a:ext uri="{FF2B5EF4-FFF2-40B4-BE49-F238E27FC236}">
              <a16:creationId xmlns:a16="http://schemas.microsoft.com/office/drawing/2014/main" id="{F049D3FE-B03C-4FA7-89FA-4920BE68C1C7}"/>
            </a:ext>
          </a:extLst>
        </xdr:cNvPr>
        <xdr:cNvSpPr>
          <a:spLocks noChangeAspect="1" noChangeArrowheads="1"/>
        </xdr:cNvSpPr>
      </xdr:nvSpPr>
      <xdr:spPr bwMode="auto">
        <a:xfrm>
          <a:off x="207818" y="13277273"/>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45</xdr:row>
      <xdr:rowOff>0</xdr:rowOff>
    </xdr:from>
    <xdr:ext cx="294426" cy="311400"/>
    <xdr:sp macro="" textlink="">
      <xdr:nvSpPr>
        <xdr:cNvPr id="66" name="AutoShape 2" descr="asian paints colour ideas - TikTok Shop">
          <a:extLst>
            <a:ext uri="{FF2B5EF4-FFF2-40B4-BE49-F238E27FC236}">
              <a16:creationId xmlns:a16="http://schemas.microsoft.com/office/drawing/2014/main" id="{A6D766B3-AA28-49CB-B132-52ED93878F1A}"/>
            </a:ext>
          </a:extLst>
        </xdr:cNvPr>
        <xdr:cNvSpPr>
          <a:spLocks noChangeAspect="1" noChangeArrowheads="1"/>
        </xdr:cNvSpPr>
      </xdr:nvSpPr>
      <xdr:spPr bwMode="auto">
        <a:xfrm>
          <a:off x="207818" y="13277273"/>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45</xdr:row>
      <xdr:rowOff>0</xdr:rowOff>
    </xdr:from>
    <xdr:ext cx="294426" cy="311400"/>
    <xdr:sp macro="" textlink="">
      <xdr:nvSpPr>
        <xdr:cNvPr id="67" name="AutoShape 3" descr="asian paints colour ideas - TikTok Shop">
          <a:extLst>
            <a:ext uri="{FF2B5EF4-FFF2-40B4-BE49-F238E27FC236}">
              <a16:creationId xmlns:a16="http://schemas.microsoft.com/office/drawing/2014/main" id="{E157C4C8-247E-4A4A-BDA8-9B17D91B9193}"/>
            </a:ext>
          </a:extLst>
        </xdr:cNvPr>
        <xdr:cNvSpPr>
          <a:spLocks noChangeAspect="1" noChangeArrowheads="1"/>
        </xdr:cNvSpPr>
      </xdr:nvSpPr>
      <xdr:spPr bwMode="auto">
        <a:xfrm>
          <a:off x="207818" y="13277273"/>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45</xdr:row>
      <xdr:rowOff>0</xdr:rowOff>
    </xdr:from>
    <xdr:ext cx="294426" cy="311400"/>
    <xdr:sp macro="" textlink="">
      <xdr:nvSpPr>
        <xdr:cNvPr id="68" name="AutoShape 4" descr="asian paints colour ideas - TikTok Shop">
          <a:extLst>
            <a:ext uri="{FF2B5EF4-FFF2-40B4-BE49-F238E27FC236}">
              <a16:creationId xmlns:a16="http://schemas.microsoft.com/office/drawing/2014/main" id="{DD358257-8BFB-4AA6-B632-25E8E7C309E3}"/>
            </a:ext>
          </a:extLst>
        </xdr:cNvPr>
        <xdr:cNvSpPr>
          <a:spLocks noChangeAspect="1" noChangeArrowheads="1"/>
        </xdr:cNvSpPr>
      </xdr:nvSpPr>
      <xdr:spPr bwMode="auto">
        <a:xfrm>
          <a:off x="207818" y="13277273"/>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45</xdr:row>
      <xdr:rowOff>0</xdr:rowOff>
    </xdr:from>
    <xdr:ext cx="294426" cy="312020"/>
    <xdr:sp macro="" textlink="">
      <xdr:nvSpPr>
        <xdr:cNvPr id="69" name="AutoShape 2" descr="asian paints colour ideas - TikTok Shop">
          <a:extLst>
            <a:ext uri="{FF2B5EF4-FFF2-40B4-BE49-F238E27FC236}">
              <a16:creationId xmlns:a16="http://schemas.microsoft.com/office/drawing/2014/main" id="{17FDC161-608D-4A76-9658-2BED0CB64AB3}"/>
            </a:ext>
          </a:extLst>
        </xdr:cNvPr>
        <xdr:cNvSpPr>
          <a:spLocks noChangeAspect="1" noChangeArrowheads="1"/>
        </xdr:cNvSpPr>
      </xdr:nvSpPr>
      <xdr:spPr bwMode="auto">
        <a:xfrm>
          <a:off x="207818" y="13277273"/>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47</xdr:row>
      <xdr:rowOff>0</xdr:rowOff>
    </xdr:from>
    <xdr:ext cx="294426" cy="316177"/>
    <xdr:sp macro="" textlink="">
      <xdr:nvSpPr>
        <xdr:cNvPr id="71" name="AutoShape 2" descr="asian paints colour ideas - TikTok Shop">
          <a:extLst>
            <a:ext uri="{FF2B5EF4-FFF2-40B4-BE49-F238E27FC236}">
              <a16:creationId xmlns:a16="http://schemas.microsoft.com/office/drawing/2014/main" id="{A035EA8D-29C9-4B3D-99A0-D076D1BADF61}"/>
            </a:ext>
          </a:extLst>
        </xdr:cNvPr>
        <xdr:cNvSpPr>
          <a:spLocks noChangeAspect="1" noChangeArrowheads="1"/>
        </xdr:cNvSpPr>
      </xdr:nvSpPr>
      <xdr:spPr bwMode="auto">
        <a:xfrm>
          <a:off x="207818" y="13277273"/>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47</xdr:row>
      <xdr:rowOff>0</xdr:rowOff>
    </xdr:from>
    <xdr:ext cx="294426" cy="316177"/>
    <xdr:sp macro="" textlink="">
      <xdr:nvSpPr>
        <xdr:cNvPr id="72" name="AutoShape 3" descr="asian paints colour ideas - TikTok Shop">
          <a:extLst>
            <a:ext uri="{FF2B5EF4-FFF2-40B4-BE49-F238E27FC236}">
              <a16:creationId xmlns:a16="http://schemas.microsoft.com/office/drawing/2014/main" id="{48EFBC05-C114-4D70-9845-5779634270F7}"/>
            </a:ext>
          </a:extLst>
        </xdr:cNvPr>
        <xdr:cNvSpPr>
          <a:spLocks noChangeAspect="1" noChangeArrowheads="1"/>
        </xdr:cNvSpPr>
      </xdr:nvSpPr>
      <xdr:spPr bwMode="auto">
        <a:xfrm>
          <a:off x="207818" y="13277273"/>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47</xdr:row>
      <xdr:rowOff>0</xdr:rowOff>
    </xdr:from>
    <xdr:ext cx="294426" cy="316177"/>
    <xdr:sp macro="" textlink="">
      <xdr:nvSpPr>
        <xdr:cNvPr id="73" name="AutoShape 4" descr="asian paints colour ideas - TikTok Shop">
          <a:extLst>
            <a:ext uri="{FF2B5EF4-FFF2-40B4-BE49-F238E27FC236}">
              <a16:creationId xmlns:a16="http://schemas.microsoft.com/office/drawing/2014/main" id="{D0D1E026-5C99-46C4-8722-E1EEE47A0D82}"/>
            </a:ext>
          </a:extLst>
        </xdr:cNvPr>
        <xdr:cNvSpPr>
          <a:spLocks noChangeAspect="1" noChangeArrowheads="1"/>
        </xdr:cNvSpPr>
      </xdr:nvSpPr>
      <xdr:spPr bwMode="auto">
        <a:xfrm>
          <a:off x="207818" y="13277273"/>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47</xdr:row>
      <xdr:rowOff>0</xdr:rowOff>
    </xdr:from>
    <xdr:ext cx="294426" cy="311400"/>
    <xdr:sp macro="" textlink="">
      <xdr:nvSpPr>
        <xdr:cNvPr id="74" name="AutoShape 2" descr="asian paints colour ideas - TikTok Shop">
          <a:extLst>
            <a:ext uri="{FF2B5EF4-FFF2-40B4-BE49-F238E27FC236}">
              <a16:creationId xmlns:a16="http://schemas.microsoft.com/office/drawing/2014/main" id="{E4CCD614-457D-4EBE-BB9D-0632EF3CBA8F}"/>
            </a:ext>
          </a:extLst>
        </xdr:cNvPr>
        <xdr:cNvSpPr>
          <a:spLocks noChangeAspect="1" noChangeArrowheads="1"/>
        </xdr:cNvSpPr>
      </xdr:nvSpPr>
      <xdr:spPr bwMode="auto">
        <a:xfrm>
          <a:off x="207818" y="13277273"/>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47</xdr:row>
      <xdr:rowOff>0</xdr:rowOff>
    </xdr:from>
    <xdr:ext cx="294426" cy="311400"/>
    <xdr:sp macro="" textlink="">
      <xdr:nvSpPr>
        <xdr:cNvPr id="75" name="AutoShape 3" descr="asian paints colour ideas - TikTok Shop">
          <a:extLst>
            <a:ext uri="{FF2B5EF4-FFF2-40B4-BE49-F238E27FC236}">
              <a16:creationId xmlns:a16="http://schemas.microsoft.com/office/drawing/2014/main" id="{D8A2CC42-015A-407D-8A54-6A741FF49378}"/>
            </a:ext>
          </a:extLst>
        </xdr:cNvPr>
        <xdr:cNvSpPr>
          <a:spLocks noChangeAspect="1" noChangeArrowheads="1"/>
        </xdr:cNvSpPr>
      </xdr:nvSpPr>
      <xdr:spPr bwMode="auto">
        <a:xfrm>
          <a:off x="207818" y="13277273"/>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47</xdr:row>
      <xdr:rowOff>0</xdr:rowOff>
    </xdr:from>
    <xdr:ext cx="294426" cy="311400"/>
    <xdr:sp macro="" textlink="">
      <xdr:nvSpPr>
        <xdr:cNvPr id="76" name="AutoShape 4" descr="asian paints colour ideas - TikTok Shop">
          <a:extLst>
            <a:ext uri="{FF2B5EF4-FFF2-40B4-BE49-F238E27FC236}">
              <a16:creationId xmlns:a16="http://schemas.microsoft.com/office/drawing/2014/main" id="{CFBB1789-5DAC-4BA3-A5F9-5F3A10859CC0}"/>
            </a:ext>
          </a:extLst>
        </xdr:cNvPr>
        <xdr:cNvSpPr>
          <a:spLocks noChangeAspect="1" noChangeArrowheads="1"/>
        </xdr:cNvSpPr>
      </xdr:nvSpPr>
      <xdr:spPr bwMode="auto">
        <a:xfrm>
          <a:off x="207818" y="13277273"/>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47</xdr:row>
      <xdr:rowOff>0</xdr:rowOff>
    </xdr:from>
    <xdr:ext cx="294426" cy="312020"/>
    <xdr:sp macro="" textlink="">
      <xdr:nvSpPr>
        <xdr:cNvPr id="77" name="AutoShape 2" descr="asian paints colour ideas - TikTok Shop">
          <a:extLst>
            <a:ext uri="{FF2B5EF4-FFF2-40B4-BE49-F238E27FC236}">
              <a16:creationId xmlns:a16="http://schemas.microsoft.com/office/drawing/2014/main" id="{40100211-9D04-4F80-8350-A942454ED781}"/>
            </a:ext>
          </a:extLst>
        </xdr:cNvPr>
        <xdr:cNvSpPr>
          <a:spLocks noChangeAspect="1" noChangeArrowheads="1"/>
        </xdr:cNvSpPr>
      </xdr:nvSpPr>
      <xdr:spPr bwMode="auto">
        <a:xfrm>
          <a:off x="207818" y="13277273"/>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59</xdr:row>
      <xdr:rowOff>0</xdr:rowOff>
    </xdr:from>
    <xdr:ext cx="294426" cy="316177"/>
    <xdr:sp macro="" textlink="">
      <xdr:nvSpPr>
        <xdr:cNvPr id="79" name="AutoShape 2" descr="asian paints colour ideas - TikTok Shop">
          <a:extLst>
            <a:ext uri="{FF2B5EF4-FFF2-40B4-BE49-F238E27FC236}">
              <a16:creationId xmlns:a16="http://schemas.microsoft.com/office/drawing/2014/main" id="{0BB79238-CD68-4757-A4FD-C0C76F65EE12}"/>
            </a:ext>
          </a:extLst>
        </xdr:cNvPr>
        <xdr:cNvSpPr>
          <a:spLocks noChangeAspect="1" noChangeArrowheads="1"/>
        </xdr:cNvSpPr>
      </xdr:nvSpPr>
      <xdr:spPr bwMode="auto">
        <a:xfrm>
          <a:off x="207818" y="13277273"/>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59</xdr:row>
      <xdr:rowOff>0</xdr:rowOff>
    </xdr:from>
    <xdr:ext cx="294426" cy="316177"/>
    <xdr:sp macro="" textlink="">
      <xdr:nvSpPr>
        <xdr:cNvPr id="80" name="AutoShape 3" descr="asian paints colour ideas - TikTok Shop">
          <a:extLst>
            <a:ext uri="{FF2B5EF4-FFF2-40B4-BE49-F238E27FC236}">
              <a16:creationId xmlns:a16="http://schemas.microsoft.com/office/drawing/2014/main" id="{88169F23-514F-4FE3-8121-66F006FC6A55}"/>
            </a:ext>
          </a:extLst>
        </xdr:cNvPr>
        <xdr:cNvSpPr>
          <a:spLocks noChangeAspect="1" noChangeArrowheads="1"/>
        </xdr:cNvSpPr>
      </xdr:nvSpPr>
      <xdr:spPr bwMode="auto">
        <a:xfrm>
          <a:off x="207818" y="13277273"/>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59</xdr:row>
      <xdr:rowOff>0</xdr:rowOff>
    </xdr:from>
    <xdr:ext cx="294426" cy="316177"/>
    <xdr:sp macro="" textlink="">
      <xdr:nvSpPr>
        <xdr:cNvPr id="81" name="AutoShape 4" descr="asian paints colour ideas - TikTok Shop">
          <a:extLst>
            <a:ext uri="{FF2B5EF4-FFF2-40B4-BE49-F238E27FC236}">
              <a16:creationId xmlns:a16="http://schemas.microsoft.com/office/drawing/2014/main" id="{5E8DF7B0-FA96-4329-9CF5-B85721CA6938}"/>
            </a:ext>
          </a:extLst>
        </xdr:cNvPr>
        <xdr:cNvSpPr>
          <a:spLocks noChangeAspect="1" noChangeArrowheads="1"/>
        </xdr:cNvSpPr>
      </xdr:nvSpPr>
      <xdr:spPr bwMode="auto">
        <a:xfrm>
          <a:off x="207818" y="13277273"/>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59</xdr:row>
      <xdr:rowOff>0</xdr:rowOff>
    </xdr:from>
    <xdr:ext cx="294426" cy="311400"/>
    <xdr:sp macro="" textlink="">
      <xdr:nvSpPr>
        <xdr:cNvPr id="82" name="AutoShape 2" descr="asian paints colour ideas - TikTok Shop">
          <a:extLst>
            <a:ext uri="{FF2B5EF4-FFF2-40B4-BE49-F238E27FC236}">
              <a16:creationId xmlns:a16="http://schemas.microsoft.com/office/drawing/2014/main" id="{F9310B5D-6197-43EC-AA5C-0D9305161572}"/>
            </a:ext>
          </a:extLst>
        </xdr:cNvPr>
        <xdr:cNvSpPr>
          <a:spLocks noChangeAspect="1" noChangeArrowheads="1"/>
        </xdr:cNvSpPr>
      </xdr:nvSpPr>
      <xdr:spPr bwMode="auto">
        <a:xfrm>
          <a:off x="207818" y="13277273"/>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59</xdr:row>
      <xdr:rowOff>0</xdr:rowOff>
    </xdr:from>
    <xdr:ext cx="294426" cy="311400"/>
    <xdr:sp macro="" textlink="">
      <xdr:nvSpPr>
        <xdr:cNvPr id="83" name="AutoShape 3" descr="asian paints colour ideas - TikTok Shop">
          <a:extLst>
            <a:ext uri="{FF2B5EF4-FFF2-40B4-BE49-F238E27FC236}">
              <a16:creationId xmlns:a16="http://schemas.microsoft.com/office/drawing/2014/main" id="{1126E96C-FFF8-4A2A-83B5-4C099DBBE2E2}"/>
            </a:ext>
          </a:extLst>
        </xdr:cNvPr>
        <xdr:cNvSpPr>
          <a:spLocks noChangeAspect="1" noChangeArrowheads="1"/>
        </xdr:cNvSpPr>
      </xdr:nvSpPr>
      <xdr:spPr bwMode="auto">
        <a:xfrm>
          <a:off x="207818" y="13277273"/>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59</xdr:row>
      <xdr:rowOff>0</xdr:rowOff>
    </xdr:from>
    <xdr:ext cx="294426" cy="311400"/>
    <xdr:sp macro="" textlink="">
      <xdr:nvSpPr>
        <xdr:cNvPr id="84" name="AutoShape 4" descr="asian paints colour ideas - TikTok Shop">
          <a:extLst>
            <a:ext uri="{FF2B5EF4-FFF2-40B4-BE49-F238E27FC236}">
              <a16:creationId xmlns:a16="http://schemas.microsoft.com/office/drawing/2014/main" id="{DB8D01E1-AA5B-42D2-82B0-DED3E2925C00}"/>
            </a:ext>
          </a:extLst>
        </xdr:cNvPr>
        <xdr:cNvSpPr>
          <a:spLocks noChangeAspect="1" noChangeArrowheads="1"/>
        </xdr:cNvSpPr>
      </xdr:nvSpPr>
      <xdr:spPr bwMode="auto">
        <a:xfrm>
          <a:off x="207818" y="13277273"/>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59</xdr:row>
      <xdr:rowOff>0</xdr:rowOff>
    </xdr:from>
    <xdr:ext cx="294426" cy="312020"/>
    <xdr:sp macro="" textlink="">
      <xdr:nvSpPr>
        <xdr:cNvPr id="85" name="AutoShape 2" descr="asian paints colour ideas - TikTok Shop">
          <a:extLst>
            <a:ext uri="{FF2B5EF4-FFF2-40B4-BE49-F238E27FC236}">
              <a16:creationId xmlns:a16="http://schemas.microsoft.com/office/drawing/2014/main" id="{D3483E49-8778-465B-8269-62112200A9C4}"/>
            </a:ext>
          </a:extLst>
        </xdr:cNvPr>
        <xdr:cNvSpPr>
          <a:spLocks noChangeAspect="1" noChangeArrowheads="1"/>
        </xdr:cNvSpPr>
      </xdr:nvSpPr>
      <xdr:spPr bwMode="auto">
        <a:xfrm>
          <a:off x="207818" y="13277273"/>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59</xdr:row>
      <xdr:rowOff>0</xdr:rowOff>
    </xdr:from>
    <xdr:ext cx="294426" cy="312020"/>
    <xdr:sp macro="" textlink="">
      <xdr:nvSpPr>
        <xdr:cNvPr id="86" name="AutoShape 3" descr="asian paints colour ideas - TikTok Shop">
          <a:extLst>
            <a:ext uri="{FF2B5EF4-FFF2-40B4-BE49-F238E27FC236}">
              <a16:creationId xmlns:a16="http://schemas.microsoft.com/office/drawing/2014/main" id="{930231D2-8582-484A-B572-741D7970BE64}"/>
            </a:ext>
          </a:extLst>
        </xdr:cNvPr>
        <xdr:cNvSpPr>
          <a:spLocks noChangeAspect="1" noChangeArrowheads="1"/>
        </xdr:cNvSpPr>
      </xdr:nvSpPr>
      <xdr:spPr bwMode="auto">
        <a:xfrm>
          <a:off x="207818" y="13277273"/>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48</xdr:row>
      <xdr:rowOff>0</xdr:rowOff>
    </xdr:from>
    <xdr:ext cx="294426" cy="316177"/>
    <xdr:sp macro="" textlink="">
      <xdr:nvSpPr>
        <xdr:cNvPr id="87" name="AutoShape 2" descr="asian paints colour ideas - TikTok Shop">
          <a:extLst>
            <a:ext uri="{FF2B5EF4-FFF2-40B4-BE49-F238E27FC236}">
              <a16:creationId xmlns:a16="http://schemas.microsoft.com/office/drawing/2014/main" id="{C22FBA1A-5316-4F0B-9FBA-4CEC525F911E}"/>
            </a:ext>
          </a:extLst>
        </xdr:cNvPr>
        <xdr:cNvSpPr>
          <a:spLocks noChangeAspect="1" noChangeArrowheads="1"/>
        </xdr:cNvSpPr>
      </xdr:nvSpPr>
      <xdr:spPr bwMode="auto">
        <a:xfrm>
          <a:off x="13036990" y="10456752"/>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48</xdr:row>
      <xdr:rowOff>0</xdr:rowOff>
    </xdr:from>
    <xdr:ext cx="294426" cy="316177"/>
    <xdr:sp macro="" textlink="">
      <xdr:nvSpPr>
        <xdr:cNvPr id="88" name="AutoShape 3" descr="asian paints colour ideas - TikTok Shop">
          <a:extLst>
            <a:ext uri="{FF2B5EF4-FFF2-40B4-BE49-F238E27FC236}">
              <a16:creationId xmlns:a16="http://schemas.microsoft.com/office/drawing/2014/main" id="{46E180EA-C09C-4FDD-8865-84F90D7563CA}"/>
            </a:ext>
          </a:extLst>
        </xdr:cNvPr>
        <xdr:cNvSpPr>
          <a:spLocks noChangeAspect="1" noChangeArrowheads="1"/>
        </xdr:cNvSpPr>
      </xdr:nvSpPr>
      <xdr:spPr bwMode="auto">
        <a:xfrm>
          <a:off x="13036990" y="10456752"/>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48</xdr:row>
      <xdr:rowOff>0</xdr:rowOff>
    </xdr:from>
    <xdr:ext cx="294426" cy="316177"/>
    <xdr:sp macro="" textlink="">
      <xdr:nvSpPr>
        <xdr:cNvPr id="89" name="AutoShape 4" descr="asian paints colour ideas - TikTok Shop">
          <a:extLst>
            <a:ext uri="{FF2B5EF4-FFF2-40B4-BE49-F238E27FC236}">
              <a16:creationId xmlns:a16="http://schemas.microsoft.com/office/drawing/2014/main" id="{C73ED1EB-5944-4657-980C-C0F62D7D44D2}"/>
            </a:ext>
          </a:extLst>
        </xdr:cNvPr>
        <xdr:cNvSpPr>
          <a:spLocks noChangeAspect="1" noChangeArrowheads="1"/>
        </xdr:cNvSpPr>
      </xdr:nvSpPr>
      <xdr:spPr bwMode="auto">
        <a:xfrm>
          <a:off x="13036990" y="10456752"/>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48</xdr:row>
      <xdr:rowOff>0</xdr:rowOff>
    </xdr:from>
    <xdr:ext cx="294426" cy="311400"/>
    <xdr:sp macro="" textlink="">
      <xdr:nvSpPr>
        <xdr:cNvPr id="90" name="AutoShape 2" descr="asian paints colour ideas - TikTok Shop">
          <a:extLst>
            <a:ext uri="{FF2B5EF4-FFF2-40B4-BE49-F238E27FC236}">
              <a16:creationId xmlns:a16="http://schemas.microsoft.com/office/drawing/2014/main" id="{57E34248-BD94-4225-BDE8-647C4395D8D6}"/>
            </a:ext>
          </a:extLst>
        </xdr:cNvPr>
        <xdr:cNvSpPr>
          <a:spLocks noChangeAspect="1" noChangeArrowheads="1"/>
        </xdr:cNvSpPr>
      </xdr:nvSpPr>
      <xdr:spPr bwMode="auto">
        <a:xfrm>
          <a:off x="13036990" y="10456752"/>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48</xdr:row>
      <xdr:rowOff>0</xdr:rowOff>
    </xdr:from>
    <xdr:ext cx="294426" cy="311400"/>
    <xdr:sp macro="" textlink="">
      <xdr:nvSpPr>
        <xdr:cNvPr id="91" name="AutoShape 3" descr="asian paints colour ideas - TikTok Shop">
          <a:extLst>
            <a:ext uri="{FF2B5EF4-FFF2-40B4-BE49-F238E27FC236}">
              <a16:creationId xmlns:a16="http://schemas.microsoft.com/office/drawing/2014/main" id="{E63E6F4E-FA97-4294-BFC0-120A3FC8278C}"/>
            </a:ext>
          </a:extLst>
        </xdr:cNvPr>
        <xdr:cNvSpPr>
          <a:spLocks noChangeAspect="1" noChangeArrowheads="1"/>
        </xdr:cNvSpPr>
      </xdr:nvSpPr>
      <xdr:spPr bwMode="auto">
        <a:xfrm>
          <a:off x="13036990" y="10456752"/>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48</xdr:row>
      <xdr:rowOff>0</xdr:rowOff>
    </xdr:from>
    <xdr:ext cx="294426" cy="311400"/>
    <xdr:sp macro="" textlink="">
      <xdr:nvSpPr>
        <xdr:cNvPr id="92" name="AutoShape 4" descr="asian paints colour ideas - TikTok Shop">
          <a:extLst>
            <a:ext uri="{FF2B5EF4-FFF2-40B4-BE49-F238E27FC236}">
              <a16:creationId xmlns:a16="http://schemas.microsoft.com/office/drawing/2014/main" id="{C11F7A6E-DCE6-47B8-9DC4-B4AEEF0DEEA5}"/>
            </a:ext>
          </a:extLst>
        </xdr:cNvPr>
        <xdr:cNvSpPr>
          <a:spLocks noChangeAspect="1" noChangeArrowheads="1"/>
        </xdr:cNvSpPr>
      </xdr:nvSpPr>
      <xdr:spPr bwMode="auto">
        <a:xfrm>
          <a:off x="13036990" y="10456752"/>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48</xdr:row>
      <xdr:rowOff>0</xdr:rowOff>
    </xdr:from>
    <xdr:ext cx="294426" cy="312020"/>
    <xdr:sp macro="" textlink="">
      <xdr:nvSpPr>
        <xdr:cNvPr id="93" name="AutoShape 2" descr="asian paints colour ideas - TikTok Shop">
          <a:extLst>
            <a:ext uri="{FF2B5EF4-FFF2-40B4-BE49-F238E27FC236}">
              <a16:creationId xmlns:a16="http://schemas.microsoft.com/office/drawing/2014/main" id="{334D5095-CCEA-4B75-8136-D42C5C04B210}"/>
            </a:ext>
          </a:extLst>
        </xdr:cNvPr>
        <xdr:cNvSpPr>
          <a:spLocks noChangeAspect="1" noChangeArrowheads="1"/>
        </xdr:cNvSpPr>
      </xdr:nvSpPr>
      <xdr:spPr bwMode="auto">
        <a:xfrm>
          <a:off x="13036990" y="10456752"/>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49</xdr:row>
      <xdr:rowOff>0</xdr:rowOff>
    </xdr:from>
    <xdr:ext cx="294426" cy="316177"/>
    <xdr:sp macro="" textlink="">
      <xdr:nvSpPr>
        <xdr:cNvPr id="95" name="AutoShape 2" descr="asian paints colour ideas - TikTok Shop">
          <a:extLst>
            <a:ext uri="{FF2B5EF4-FFF2-40B4-BE49-F238E27FC236}">
              <a16:creationId xmlns:a16="http://schemas.microsoft.com/office/drawing/2014/main" id="{86DAA49A-2133-4114-89F8-C438930913D3}"/>
            </a:ext>
          </a:extLst>
        </xdr:cNvPr>
        <xdr:cNvSpPr>
          <a:spLocks noChangeAspect="1" noChangeArrowheads="1"/>
        </xdr:cNvSpPr>
      </xdr:nvSpPr>
      <xdr:spPr bwMode="auto">
        <a:xfrm>
          <a:off x="13036990" y="10637822"/>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49</xdr:row>
      <xdr:rowOff>0</xdr:rowOff>
    </xdr:from>
    <xdr:ext cx="294426" cy="316177"/>
    <xdr:sp macro="" textlink="">
      <xdr:nvSpPr>
        <xdr:cNvPr id="96" name="AutoShape 3" descr="asian paints colour ideas - TikTok Shop">
          <a:extLst>
            <a:ext uri="{FF2B5EF4-FFF2-40B4-BE49-F238E27FC236}">
              <a16:creationId xmlns:a16="http://schemas.microsoft.com/office/drawing/2014/main" id="{535CEDBC-994A-4848-8A67-9BE39DDF0D36}"/>
            </a:ext>
          </a:extLst>
        </xdr:cNvPr>
        <xdr:cNvSpPr>
          <a:spLocks noChangeAspect="1" noChangeArrowheads="1"/>
        </xdr:cNvSpPr>
      </xdr:nvSpPr>
      <xdr:spPr bwMode="auto">
        <a:xfrm>
          <a:off x="13036990" y="10637822"/>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49</xdr:row>
      <xdr:rowOff>0</xdr:rowOff>
    </xdr:from>
    <xdr:ext cx="294426" cy="316177"/>
    <xdr:sp macro="" textlink="">
      <xdr:nvSpPr>
        <xdr:cNvPr id="97" name="AutoShape 4" descr="asian paints colour ideas - TikTok Shop">
          <a:extLst>
            <a:ext uri="{FF2B5EF4-FFF2-40B4-BE49-F238E27FC236}">
              <a16:creationId xmlns:a16="http://schemas.microsoft.com/office/drawing/2014/main" id="{97DA8696-A319-4F70-A35B-A2F4A4B162A4}"/>
            </a:ext>
          </a:extLst>
        </xdr:cNvPr>
        <xdr:cNvSpPr>
          <a:spLocks noChangeAspect="1" noChangeArrowheads="1"/>
        </xdr:cNvSpPr>
      </xdr:nvSpPr>
      <xdr:spPr bwMode="auto">
        <a:xfrm>
          <a:off x="13036990" y="10637822"/>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49</xdr:row>
      <xdr:rowOff>0</xdr:rowOff>
    </xdr:from>
    <xdr:ext cx="294426" cy="311400"/>
    <xdr:sp macro="" textlink="">
      <xdr:nvSpPr>
        <xdr:cNvPr id="98" name="AutoShape 2" descr="asian paints colour ideas - TikTok Shop">
          <a:extLst>
            <a:ext uri="{FF2B5EF4-FFF2-40B4-BE49-F238E27FC236}">
              <a16:creationId xmlns:a16="http://schemas.microsoft.com/office/drawing/2014/main" id="{59E9CCCB-5C8E-46DD-A7BC-6F250CFF0081}"/>
            </a:ext>
          </a:extLst>
        </xdr:cNvPr>
        <xdr:cNvSpPr>
          <a:spLocks noChangeAspect="1" noChangeArrowheads="1"/>
        </xdr:cNvSpPr>
      </xdr:nvSpPr>
      <xdr:spPr bwMode="auto">
        <a:xfrm>
          <a:off x="13036990" y="10637822"/>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49</xdr:row>
      <xdr:rowOff>0</xdr:rowOff>
    </xdr:from>
    <xdr:ext cx="294426" cy="311400"/>
    <xdr:sp macro="" textlink="">
      <xdr:nvSpPr>
        <xdr:cNvPr id="99" name="AutoShape 3" descr="asian paints colour ideas - TikTok Shop">
          <a:extLst>
            <a:ext uri="{FF2B5EF4-FFF2-40B4-BE49-F238E27FC236}">
              <a16:creationId xmlns:a16="http://schemas.microsoft.com/office/drawing/2014/main" id="{D19D179A-EA30-4C97-853A-F011EDF9AA7B}"/>
            </a:ext>
          </a:extLst>
        </xdr:cNvPr>
        <xdr:cNvSpPr>
          <a:spLocks noChangeAspect="1" noChangeArrowheads="1"/>
        </xdr:cNvSpPr>
      </xdr:nvSpPr>
      <xdr:spPr bwMode="auto">
        <a:xfrm>
          <a:off x="13036990" y="10637822"/>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49</xdr:row>
      <xdr:rowOff>0</xdr:rowOff>
    </xdr:from>
    <xdr:ext cx="294426" cy="311400"/>
    <xdr:sp macro="" textlink="">
      <xdr:nvSpPr>
        <xdr:cNvPr id="100" name="AutoShape 4" descr="asian paints colour ideas - TikTok Shop">
          <a:extLst>
            <a:ext uri="{FF2B5EF4-FFF2-40B4-BE49-F238E27FC236}">
              <a16:creationId xmlns:a16="http://schemas.microsoft.com/office/drawing/2014/main" id="{47583B84-F335-4D3D-AE9A-AAB607A1594F}"/>
            </a:ext>
          </a:extLst>
        </xdr:cNvPr>
        <xdr:cNvSpPr>
          <a:spLocks noChangeAspect="1" noChangeArrowheads="1"/>
        </xdr:cNvSpPr>
      </xdr:nvSpPr>
      <xdr:spPr bwMode="auto">
        <a:xfrm>
          <a:off x="13036990" y="10637822"/>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49</xdr:row>
      <xdr:rowOff>0</xdr:rowOff>
    </xdr:from>
    <xdr:ext cx="294426" cy="312020"/>
    <xdr:sp macro="" textlink="">
      <xdr:nvSpPr>
        <xdr:cNvPr id="101" name="AutoShape 2" descr="asian paints colour ideas - TikTok Shop">
          <a:extLst>
            <a:ext uri="{FF2B5EF4-FFF2-40B4-BE49-F238E27FC236}">
              <a16:creationId xmlns:a16="http://schemas.microsoft.com/office/drawing/2014/main" id="{E7325AAA-A5A9-4E52-BC93-A7918BB9F4BA}"/>
            </a:ext>
          </a:extLst>
        </xdr:cNvPr>
        <xdr:cNvSpPr>
          <a:spLocks noChangeAspect="1" noChangeArrowheads="1"/>
        </xdr:cNvSpPr>
      </xdr:nvSpPr>
      <xdr:spPr bwMode="auto">
        <a:xfrm>
          <a:off x="13036990" y="10637822"/>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49</xdr:row>
      <xdr:rowOff>0</xdr:rowOff>
    </xdr:from>
    <xdr:ext cx="294426" cy="312020"/>
    <xdr:sp macro="" textlink="">
      <xdr:nvSpPr>
        <xdr:cNvPr id="102" name="AutoShape 3" descr="asian paints colour ideas - TikTok Shop">
          <a:extLst>
            <a:ext uri="{FF2B5EF4-FFF2-40B4-BE49-F238E27FC236}">
              <a16:creationId xmlns:a16="http://schemas.microsoft.com/office/drawing/2014/main" id="{BFB2E7C9-353D-4579-93F8-5A0237984BAF}"/>
            </a:ext>
          </a:extLst>
        </xdr:cNvPr>
        <xdr:cNvSpPr>
          <a:spLocks noChangeAspect="1" noChangeArrowheads="1"/>
        </xdr:cNvSpPr>
      </xdr:nvSpPr>
      <xdr:spPr bwMode="auto">
        <a:xfrm>
          <a:off x="13036990" y="10637822"/>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51</xdr:row>
      <xdr:rowOff>0</xdr:rowOff>
    </xdr:from>
    <xdr:ext cx="294426" cy="316177"/>
    <xdr:sp macro="" textlink="">
      <xdr:nvSpPr>
        <xdr:cNvPr id="103" name="AutoShape 2" descr="asian paints colour ideas - TikTok Shop">
          <a:extLst>
            <a:ext uri="{FF2B5EF4-FFF2-40B4-BE49-F238E27FC236}">
              <a16:creationId xmlns:a16="http://schemas.microsoft.com/office/drawing/2014/main" id="{7B767CDE-669B-4557-AB55-3ECBF6FAD17B}"/>
            </a:ext>
          </a:extLst>
        </xdr:cNvPr>
        <xdr:cNvSpPr>
          <a:spLocks noChangeAspect="1" noChangeArrowheads="1"/>
        </xdr:cNvSpPr>
      </xdr:nvSpPr>
      <xdr:spPr bwMode="auto">
        <a:xfrm>
          <a:off x="13036990" y="10818891"/>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51</xdr:row>
      <xdr:rowOff>0</xdr:rowOff>
    </xdr:from>
    <xdr:ext cx="294426" cy="316177"/>
    <xdr:sp macro="" textlink="">
      <xdr:nvSpPr>
        <xdr:cNvPr id="104" name="AutoShape 3" descr="asian paints colour ideas - TikTok Shop">
          <a:extLst>
            <a:ext uri="{FF2B5EF4-FFF2-40B4-BE49-F238E27FC236}">
              <a16:creationId xmlns:a16="http://schemas.microsoft.com/office/drawing/2014/main" id="{3A4C0B40-030E-488C-957D-C3166FCD0F0E}"/>
            </a:ext>
          </a:extLst>
        </xdr:cNvPr>
        <xdr:cNvSpPr>
          <a:spLocks noChangeAspect="1" noChangeArrowheads="1"/>
        </xdr:cNvSpPr>
      </xdr:nvSpPr>
      <xdr:spPr bwMode="auto">
        <a:xfrm>
          <a:off x="13036990" y="10818891"/>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51</xdr:row>
      <xdr:rowOff>0</xdr:rowOff>
    </xdr:from>
    <xdr:ext cx="294426" cy="316177"/>
    <xdr:sp macro="" textlink="">
      <xdr:nvSpPr>
        <xdr:cNvPr id="105" name="AutoShape 4" descr="asian paints colour ideas - TikTok Shop">
          <a:extLst>
            <a:ext uri="{FF2B5EF4-FFF2-40B4-BE49-F238E27FC236}">
              <a16:creationId xmlns:a16="http://schemas.microsoft.com/office/drawing/2014/main" id="{E3D55095-4C47-4F47-89A0-EC20FD49A39D}"/>
            </a:ext>
          </a:extLst>
        </xdr:cNvPr>
        <xdr:cNvSpPr>
          <a:spLocks noChangeAspect="1" noChangeArrowheads="1"/>
        </xdr:cNvSpPr>
      </xdr:nvSpPr>
      <xdr:spPr bwMode="auto">
        <a:xfrm>
          <a:off x="13036990" y="10818891"/>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51</xdr:row>
      <xdr:rowOff>0</xdr:rowOff>
    </xdr:from>
    <xdr:ext cx="294426" cy="311400"/>
    <xdr:sp macro="" textlink="">
      <xdr:nvSpPr>
        <xdr:cNvPr id="106" name="AutoShape 2" descr="asian paints colour ideas - TikTok Shop">
          <a:extLst>
            <a:ext uri="{FF2B5EF4-FFF2-40B4-BE49-F238E27FC236}">
              <a16:creationId xmlns:a16="http://schemas.microsoft.com/office/drawing/2014/main" id="{A301119A-AEB4-4ED5-BB47-361009BEA4F7}"/>
            </a:ext>
          </a:extLst>
        </xdr:cNvPr>
        <xdr:cNvSpPr>
          <a:spLocks noChangeAspect="1" noChangeArrowheads="1"/>
        </xdr:cNvSpPr>
      </xdr:nvSpPr>
      <xdr:spPr bwMode="auto">
        <a:xfrm>
          <a:off x="13036990" y="10818891"/>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51</xdr:row>
      <xdr:rowOff>0</xdr:rowOff>
    </xdr:from>
    <xdr:ext cx="294426" cy="311400"/>
    <xdr:sp macro="" textlink="">
      <xdr:nvSpPr>
        <xdr:cNvPr id="107" name="AutoShape 3" descr="asian paints colour ideas - TikTok Shop">
          <a:extLst>
            <a:ext uri="{FF2B5EF4-FFF2-40B4-BE49-F238E27FC236}">
              <a16:creationId xmlns:a16="http://schemas.microsoft.com/office/drawing/2014/main" id="{78AFBDB3-CE85-4912-B8D9-22D71142A246}"/>
            </a:ext>
          </a:extLst>
        </xdr:cNvPr>
        <xdr:cNvSpPr>
          <a:spLocks noChangeAspect="1" noChangeArrowheads="1"/>
        </xdr:cNvSpPr>
      </xdr:nvSpPr>
      <xdr:spPr bwMode="auto">
        <a:xfrm>
          <a:off x="13036990" y="10818891"/>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51</xdr:row>
      <xdr:rowOff>0</xdr:rowOff>
    </xdr:from>
    <xdr:ext cx="294426" cy="311400"/>
    <xdr:sp macro="" textlink="">
      <xdr:nvSpPr>
        <xdr:cNvPr id="108" name="AutoShape 4" descr="asian paints colour ideas - TikTok Shop">
          <a:extLst>
            <a:ext uri="{FF2B5EF4-FFF2-40B4-BE49-F238E27FC236}">
              <a16:creationId xmlns:a16="http://schemas.microsoft.com/office/drawing/2014/main" id="{AD112FE6-6325-49D4-A94C-45E777469F4D}"/>
            </a:ext>
          </a:extLst>
        </xdr:cNvPr>
        <xdr:cNvSpPr>
          <a:spLocks noChangeAspect="1" noChangeArrowheads="1"/>
        </xdr:cNvSpPr>
      </xdr:nvSpPr>
      <xdr:spPr bwMode="auto">
        <a:xfrm>
          <a:off x="13036990" y="10818891"/>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51</xdr:row>
      <xdr:rowOff>0</xdr:rowOff>
    </xdr:from>
    <xdr:ext cx="294426" cy="312020"/>
    <xdr:sp macro="" textlink="">
      <xdr:nvSpPr>
        <xdr:cNvPr id="109" name="AutoShape 2" descr="asian paints colour ideas - TikTok Shop">
          <a:extLst>
            <a:ext uri="{FF2B5EF4-FFF2-40B4-BE49-F238E27FC236}">
              <a16:creationId xmlns:a16="http://schemas.microsoft.com/office/drawing/2014/main" id="{E590AE82-FC9E-493C-8323-54EF33317254}"/>
            </a:ext>
          </a:extLst>
        </xdr:cNvPr>
        <xdr:cNvSpPr>
          <a:spLocks noChangeAspect="1" noChangeArrowheads="1"/>
        </xdr:cNvSpPr>
      </xdr:nvSpPr>
      <xdr:spPr bwMode="auto">
        <a:xfrm>
          <a:off x="13036990" y="10818891"/>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51</xdr:row>
      <xdr:rowOff>0</xdr:rowOff>
    </xdr:from>
    <xdr:ext cx="294426" cy="312020"/>
    <xdr:sp macro="" textlink="">
      <xdr:nvSpPr>
        <xdr:cNvPr id="110" name="AutoShape 3" descr="asian paints colour ideas - TikTok Shop">
          <a:extLst>
            <a:ext uri="{FF2B5EF4-FFF2-40B4-BE49-F238E27FC236}">
              <a16:creationId xmlns:a16="http://schemas.microsoft.com/office/drawing/2014/main" id="{80C6794A-D557-498E-9DCE-844ECC303B74}"/>
            </a:ext>
          </a:extLst>
        </xdr:cNvPr>
        <xdr:cNvSpPr>
          <a:spLocks noChangeAspect="1" noChangeArrowheads="1"/>
        </xdr:cNvSpPr>
      </xdr:nvSpPr>
      <xdr:spPr bwMode="auto">
        <a:xfrm>
          <a:off x="13036990" y="10818891"/>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51</xdr:row>
      <xdr:rowOff>0</xdr:rowOff>
    </xdr:from>
    <xdr:ext cx="294426" cy="316177"/>
    <xdr:sp macro="" textlink="">
      <xdr:nvSpPr>
        <xdr:cNvPr id="112" name="AutoShape 2" descr="asian paints colour ideas - TikTok Shop">
          <a:extLst>
            <a:ext uri="{FF2B5EF4-FFF2-40B4-BE49-F238E27FC236}">
              <a16:creationId xmlns:a16="http://schemas.microsoft.com/office/drawing/2014/main" id="{8DDB883C-2BB7-4AAF-A9DD-BE22C14E788F}"/>
            </a:ext>
          </a:extLst>
        </xdr:cNvPr>
        <xdr:cNvSpPr>
          <a:spLocks noChangeAspect="1" noChangeArrowheads="1"/>
        </xdr:cNvSpPr>
      </xdr:nvSpPr>
      <xdr:spPr bwMode="auto">
        <a:xfrm>
          <a:off x="12008827" y="9488365"/>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51</xdr:row>
      <xdr:rowOff>0</xdr:rowOff>
    </xdr:from>
    <xdr:ext cx="294426" cy="316177"/>
    <xdr:sp macro="" textlink="">
      <xdr:nvSpPr>
        <xdr:cNvPr id="113" name="AutoShape 3" descr="asian paints colour ideas - TikTok Shop">
          <a:extLst>
            <a:ext uri="{FF2B5EF4-FFF2-40B4-BE49-F238E27FC236}">
              <a16:creationId xmlns:a16="http://schemas.microsoft.com/office/drawing/2014/main" id="{ED0C79DB-59AF-400A-B306-171AF1F70350}"/>
            </a:ext>
          </a:extLst>
        </xdr:cNvPr>
        <xdr:cNvSpPr>
          <a:spLocks noChangeAspect="1" noChangeArrowheads="1"/>
        </xdr:cNvSpPr>
      </xdr:nvSpPr>
      <xdr:spPr bwMode="auto">
        <a:xfrm>
          <a:off x="12008827" y="9488365"/>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51</xdr:row>
      <xdr:rowOff>0</xdr:rowOff>
    </xdr:from>
    <xdr:ext cx="294426" cy="316177"/>
    <xdr:sp macro="" textlink="">
      <xdr:nvSpPr>
        <xdr:cNvPr id="114" name="AutoShape 4" descr="asian paints colour ideas - TikTok Shop">
          <a:extLst>
            <a:ext uri="{FF2B5EF4-FFF2-40B4-BE49-F238E27FC236}">
              <a16:creationId xmlns:a16="http://schemas.microsoft.com/office/drawing/2014/main" id="{196E0D58-CC02-414B-9601-7AA26DDD0D88}"/>
            </a:ext>
          </a:extLst>
        </xdr:cNvPr>
        <xdr:cNvSpPr>
          <a:spLocks noChangeAspect="1" noChangeArrowheads="1"/>
        </xdr:cNvSpPr>
      </xdr:nvSpPr>
      <xdr:spPr bwMode="auto">
        <a:xfrm>
          <a:off x="12008827" y="9488365"/>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51</xdr:row>
      <xdr:rowOff>0</xdr:rowOff>
    </xdr:from>
    <xdr:ext cx="294426" cy="311400"/>
    <xdr:sp macro="" textlink="">
      <xdr:nvSpPr>
        <xdr:cNvPr id="115" name="AutoShape 2" descr="asian paints colour ideas - TikTok Shop">
          <a:extLst>
            <a:ext uri="{FF2B5EF4-FFF2-40B4-BE49-F238E27FC236}">
              <a16:creationId xmlns:a16="http://schemas.microsoft.com/office/drawing/2014/main" id="{672AB20B-DC01-41BB-83CC-6894414FE77E}"/>
            </a:ext>
          </a:extLst>
        </xdr:cNvPr>
        <xdr:cNvSpPr>
          <a:spLocks noChangeAspect="1" noChangeArrowheads="1"/>
        </xdr:cNvSpPr>
      </xdr:nvSpPr>
      <xdr:spPr bwMode="auto">
        <a:xfrm>
          <a:off x="12008827" y="9488365"/>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51</xdr:row>
      <xdr:rowOff>0</xdr:rowOff>
    </xdr:from>
    <xdr:ext cx="294426" cy="311400"/>
    <xdr:sp macro="" textlink="">
      <xdr:nvSpPr>
        <xdr:cNvPr id="116" name="AutoShape 3" descr="asian paints colour ideas - TikTok Shop">
          <a:extLst>
            <a:ext uri="{FF2B5EF4-FFF2-40B4-BE49-F238E27FC236}">
              <a16:creationId xmlns:a16="http://schemas.microsoft.com/office/drawing/2014/main" id="{F8DEE755-F1DD-44F3-A5F5-CE81184704EB}"/>
            </a:ext>
          </a:extLst>
        </xdr:cNvPr>
        <xdr:cNvSpPr>
          <a:spLocks noChangeAspect="1" noChangeArrowheads="1"/>
        </xdr:cNvSpPr>
      </xdr:nvSpPr>
      <xdr:spPr bwMode="auto">
        <a:xfrm>
          <a:off x="12008827" y="9488365"/>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51</xdr:row>
      <xdr:rowOff>0</xdr:rowOff>
    </xdr:from>
    <xdr:ext cx="294426" cy="311400"/>
    <xdr:sp macro="" textlink="">
      <xdr:nvSpPr>
        <xdr:cNvPr id="117" name="AutoShape 4" descr="asian paints colour ideas - TikTok Shop">
          <a:extLst>
            <a:ext uri="{FF2B5EF4-FFF2-40B4-BE49-F238E27FC236}">
              <a16:creationId xmlns:a16="http://schemas.microsoft.com/office/drawing/2014/main" id="{AD274FCC-BFA2-4CBA-80BD-E71DA58A5F79}"/>
            </a:ext>
          </a:extLst>
        </xdr:cNvPr>
        <xdr:cNvSpPr>
          <a:spLocks noChangeAspect="1" noChangeArrowheads="1"/>
        </xdr:cNvSpPr>
      </xdr:nvSpPr>
      <xdr:spPr bwMode="auto">
        <a:xfrm>
          <a:off x="12008827" y="9488365"/>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51</xdr:row>
      <xdr:rowOff>0</xdr:rowOff>
    </xdr:from>
    <xdr:ext cx="294426" cy="312020"/>
    <xdr:sp macro="" textlink="">
      <xdr:nvSpPr>
        <xdr:cNvPr id="118" name="AutoShape 2" descr="asian paints colour ideas - TikTok Shop">
          <a:extLst>
            <a:ext uri="{FF2B5EF4-FFF2-40B4-BE49-F238E27FC236}">
              <a16:creationId xmlns:a16="http://schemas.microsoft.com/office/drawing/2014/main" id="{F4DF9CEA-5FA8-44EA-847F-4AD3BF6B2B2C}"/>
            </a:ext>
          </a:extLst>
        </xdr:cNvPr>
        <xdr:cNvSpPr>
          <a:spLocks noChangeAspect="1" noChangeArrowheads="1"/>
        </xdr:cNvSpPr>
      </xdr:nvSpPr>
      <xdr:spPr bwMode="auto">
        <a:xfrm>
          <a:off x="12008827" y="9488365"/>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51</xdr:row>
      <xdr:rowOff>0</xdr:rowOff>
    </xdr:from>
    <xdr:ext cx="294426" cy="312020"/>
    <xdr:sp macro="" textlink="">
      <xdr:nvSpPr>
        <xdr:cNvPr id="119" name="AutoShape 3" descr="asian paints colour ideas - TikTok Shop">
          <a:extLst>
            <a:ext uri="{FF2B5EF4-FFF2-40B4-BE49-F238E27FC236}">
              <a16:creationId xmlns:a16="http://schemas.microsoft.com/office/drawing/2014/main" id="{F31BFD39-F5F7-468D-9C53-188A95BE24A4}"/>
            </a:ext>
          </a:extLst>
        </xdr:cNvPr>
        <xdr:cNvSpPr>
          <a:spLocks noChangeAspect="1" noChangeArrowheads="1"/>
        </xdr:cNvSpPr>
      </xdr:nvSpPr>
      <xdr:spPr bwMode="auto">
        <a:xfrm>
          <a:off x="12008827" y="9488365"/>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32</xdr:col>
      <xdr:colOff>0</xdr:colOff>
      <xdr:row>40</xdr:row>
      <xdr:rowOff>0</xdr:rowOff>
    </xdr:from>
    <xdr:ext cx="294426" cy="316177"/>
    <xdr:sp macro="" textlink="">
      <xdr:nvSpPr>
        <xdr:cNvPr id="120" name="AutoShape 2" descr="asian paints colour ideas - TikTok Shop">
          <a:extLst>
            <a:ext uri="{FF2B5EF4-FFF2-40B4-BE49-F238E27FC236}">
              <a16:creationId xmlns:a16="http://schemas.microsoft.com/office/drawing/2014/main" id="{9C1900DB-05F8-47AD-8C80-62F66BA1E50F}"/>
            </a:ext>
          </a:extLst>
        </xdr:cNvPr>
        <xdr:cNvSpPr>
          <a:spLocks noChangeAspect="1" noChangeArrowheads="1"/>
        </xdr:cNvSpPr>
      </xdr:nvSpPr>
      <xdr:spPr bwMode="auto">
        <a:xfrm>
          <a:off x="12008827" y="9671538"/>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32</xdr:col>
      <xdr:colOff>0</xdr:colOff>
      <xdr:row>40</xdr:row>
      <xdr:rowOff>0</xdr:rowOff>
    </xdr:from>
    <xdr:ext cx="294426" cy="316177"/>
    <xdr:sp macro="" textlink="">
      <xdr:nvSpPr>
        <xdr:cNvPr id="121" name="AutoShape 3" descr="asian paints colour ideas - TikTok Shop">
          <a:extLst>
            <a:ext uri="{FF2B5EF4-FFF2-40B4-BE49-F238E27FC236}">
              <a16:creationId xmlns:a16="http://schemas.microsoft.com/office/drawing/2014/main" id="{8E4B13F7-8A4B-459D-A394-C449EE1A8575}"/>
            </a:ext>
          </a:extLst>
        </xdr:cNvPr>
        <xdr:cNvSpPr>
          <a:spLocks noChangeAspect="1" noChangeArrowheads="1"/>
        </xdr:cNvSpPr>
      </xdr:nvSpPr>
      <xdr:spPr bwMode="auto">
        <a:xfrm>
          <a:off x="12008827" y="9671538"/>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32</xdr:col>
      <xdr:colOff>0</xdr:colOff>
      <xdr:row>40</xdr:row>
      <xdr:rowOff>0</xdr:rowOff>
    </xdr:from>
    <xdr:ext cx="294426" cy="316177"/>
    <xdr:sp macro="" textlink="">
      <xdr:nvSpPr>
        <xdr:cNvPr id="122" name="AutoShape 4" descr="asian paints colour ideas - TikTok Shop">
          <a:extLst>
            <a:ext uri="{FF2B5EF4-FFF2-40B4-BE49-F238E27FC236}">
              <a16:creationId xmlns:a16="http://schemas.microsoft.com/office/drawing/2014/main" id="{16421146-B60C-4B73-95D0-B74DF57FD64E}"/>
            </a:ext>
          </a:extLst>
        </xdr:cNvPr>
        <xdr:cNvSpPr>
          <a:spLocks noChangeAspect="1" noChangeArrowheads="1"/>
        </xdr:cNvSpPr>
      </xdr:nvSpPr>
      <xdr:spPr bwMode="auto">
        <a:xfrm>
          <a:off x="12008827" y="9671538"/>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32</xdr:col>
      <xdr:colOff>0</xdr:colOff>
      <xdr:row>40</xdr:row>
      <xdr:rowOff>0</xdr:rowOff>
    </xdr:from>
    <xdr:ext cx="294426" cy="311400"/>
    <xdr:sp macro="" textlink="">
      <xdr:nvSpPr>
        <xdr:cNvPr id="123" name="AutoShape 2" descr="asian paints colour ideas - TikTok Shop">
          <a:extLst>
            <a:ext uri="{FF2B5EF4-FFF2-40B4-BE49-F238E27FC236}">
              <a16:creationId xmlns:a16="http://schemas.microsoft.com/office/drawing/2014/main" id="{6800EC50-D532-42E7-BA9F-1416F9CD3BB9}"/>
            </a:ext>
          </a:extLst>
        </xdr:cNvPr>
        <xdr:cNvSpPr>
          <a:spLocks noChangeAspect="1" noChangeArrowheads="1"/>
        </xdr:cNvSpPr>
      </xdr:nvSpPr>
      <xdr:spPr bwMode="auto">
        <a:xfrm>
          <a:off x="12008827" y="9671538"/>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32</xdr:col>
      <xdr:colOff>0</xdr:colOff>
      <xdr:row>40</xdr:row>
      <xdr:rowOff>0</xdr:rowOff>
    </xdr:from>
    <xdr:ext cx="294426" cy="311400"/>
    <xdr:sp macro="" textlink="">
      <xdr:nvSpPr>
        <xdr:cNvPr id="136" name="AutoShape 3" descr="asian paints colour ideas - TikTok Shop">
          <a:extLst>
            <a:ext uri="{FF2B5EF4-FFF2-40B4-BE49-F238E27FC236}">
              <a16:creationId xmlns:a16="http://schemas.microsoft.com/office/drawing/2014/main" id="{18DFC7C2-B42D-4D40-A2AB-E2B205F10F2A}"/>
            </a:ext>
          </a:extLst>
        </xdr:cNvPr>
        <xdr:cNvSpPr>
          <a:spLocks noChangeAspect="1" noChangeArrowheads="1"/>
        </xdr:cNvSpPr>
      </xdr:nvSpPr>
      <xdr:spPr bwMode="auto">
        <a:xfrm>
          <a:off x="12008827" y="9671538"/>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32</xdr:col>
      <xdr:colOff>0</xdr:colOff>
      <xdr:row>40</xdr:row>
      <xdr:rowOff>0</xdr:rowOff>
    </xdr:from>
    <xdr:ext cx="294426" cy="311400"/>
    <xdr:sp macro="" textlink="">
      <xdr:nvSpPr>
        <xdr:cNvPr id="137" name="AutoShape 4" descr="asian paints colour ideas - TikTok Shop">
          <a:extLst>
            <a:ext uri="{FF2B5EF4-FFF2-40B4-BE49-F238E27FC236}">
              <a16:creationId xmlns:a16="http://schemas.microsoft.com/office/drawing/2014/main" id="{95CFB865-0AC6-4B87-A82B-F18C957E351D}"/>
            </a:ext>
          </a:extLst>
        </xdr:cNvPr>
        <xdr:cNvSpPr>
          <a:spLocks noChangeAspect="1" noChangeArrowheads="1"/>
        </xdr:cNvSpPr>
      </xdr:nvSpPr>
      <xdr:spPr bwMode="auto">
        <a:xfrm>
          <a:off x="12008827" y="9671538"/>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32</xdr:col>
      <xdr:colOff>0</xdr:colOff>
      <xdr:row>40</xdr:row>
      <xdr:rowOff>0</xdr:rowOff>
    </xdr:from>
    <xdr:ext cx="294426" cy="312020"/>
    <xdr:sp macro="" textlink="">
      <xdr:nvSpPr>
        <xdr:cNvPr id="138" name="AutoShape 2" descr="asian paints colour ideas - TikTok Shop">
          <a:extLst>
            <a:ext uri="{FF2B5EF4-FFF2-40B4-BE49-F238E27FC236}">
              <a16:creationId xmlns:a16="http://schemas.microsoft.com/office/drawing/2014/main" id="{0FC76E72-CE63-4290-A247-565840D4B767}"/>
            </a:ext>
          </a:extLst>
        </xdr:cNvPr>
        <xdr:cNvSpPr>
          <a:spLocks noChangeAspect="1" noChangeArrowheads="1"/>
        </xdr:cNvSpPr>
      </xdr:nvSpPr>
      <xdr:spPr bwMode="auto">
        <a:xfrm>
          <a:off x="12008827" y="9671538"/>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32</xdr:col>
      <xdr:colOff>0</xdr:colOff>
      <xdr:row>40</xdr:row>
      <xdr:rowOff>0</xdr:rowOff>
    </xdr:from>
    <xdr:ext cx="294426" cy="312020"/>
    <xdr:sp macro="" textlink="">
      <xdr:nvSpPr>
        <xdr:cNvPr id="139" name="AutoShape 3" descr="asian paints colour ideas - TikTok Shop">
          <a:extLst>
            <a:ext uri="{FF2B5EF4-FFF2-40B4-BE49-F238E27FC236}">
              <a16:creationId xmlns:a16="http://schemas.microsoft.com/office/drawing/2014/main" id="{4566AD96-C089-4C56-916C-88BC85534295}"/>
            </a:ext>
          </a:extLst>
        </xdr:cNvPr>
        <xdr:cNvSpPr>
          <a:spLocks noChangeAspect="1" noChangeArrowheads="1"/>
        </xdr:cNvSpPr>
      </xdr:nvSpPr>
      <xdr:spPr bwMode="auto">
        <a:xfrm>
          <a:off x="12008827" y="9671538"/>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32</xdr:col>
      <xdr:colOff>0</xdr:colOff>
      <xdr:row>41</xdr:row>
      <xdr:rowOff>0</xdr:rowOff>
    </xdr:from>
    <xdr:ext cx="294426" cy="316177"/>
    <xdr:sp macro="" textlink="">
      <xdr:nvSpPr>
        <xdr:cNvPr id="140" name="AutoShape 2" descr="asian paints colour ideas - TikTok Shop">
          <a:extLst>
            <a:ext uri="{FF2B5EF4-FFF2-40B4-BE49-F238E27FC236}">
              <a16:creationId xmlns:a16="http://schemas.microsoft.com/office/drawing/2014/main" id="{BB6B80A0-A6C3-4631-BCB7-39D8B9D7F466}"/>
            </a:ext>
          </a:extLst>
        </xdr:cNvPr>
        <xdr:cNvSpPr>
          <a:spLocks noChangeAspect="1" noChangeArrowheads="1"/>
        </xdr:cNvSpPr>
      </xdr:nvSpPr>
      <xdr:spPr bwMode="auto">
        <a:xfrm>
          <a:off x="12008827" y="9854712"/>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32</xdr:col>
      <xdr:colOff>0</xdr:colOff>
      <xdr:row>41</xdr:row>
      <xdr:rowOff>0</xdr:rowOff>
    </xdr:from>
    <xdr:ext cx="294426" cy="316177"/>
    <xdr:sp macro="" textlink="">
      <xdr:nvSpPr>
        <xdr:cNvPr id="141" name="AutoShape 3" descr="asian paints colour ideas - TikTok Shop">
          <a:extLst>
            <a:ext uri="{FF2B5EF4-FFF2-40B4-BE49-F238E27FC236}">
              <a16:creationId xmlns:a16="http://schemas.microsoft.com/office/drawing/2014/main" id="{F9816FDA-5ED0-4C2E-BE72-99DD53335372}"/>
            </a:ext>
          </a:extLst>
        </xdr:cNvPr>
        <xdr:cNvSpPr>
          <a:spLocks noChangeAspect="1" noChangeArrowheads="1"/>
        </xdr:cNvSpPr>
      </xdr:nvSpPr>
      <xdr:spPr bwMode="auto">
        <a:xfrm>
          <a:off x="12008827" y="9854712"/>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32</xdr:col>
      <xdr:colOff>0</xdr:colOff>
      <xdr:row>41</xdr:row>
      <xdr:rowOff>0</xdr:rowOff>
    </xdr:from>
    <xdr:ext cx="294426" cy="316177"/>
    <xdr:sp macro="" textlink="">
      <xdr:nvSpPr>
        <xdr:cNvPr id="142" name="AutoShape 4" descr="asian paints colour ideas - TikTok Shop">
          <a:extLst>
            <a:ext uri="{FF2B5EF4-FFF2-40B4-BE49-F238E27FC236}">
              <a16:creationId xmlns:a16="http://schemas.microsoft.com/office/drawing/2014/main" id="{15F1FA62-867B-4AD3-823D-21D45FA8CC18}"/>
            </a:ext>
          </a:extLst>
        </xdr:cNvPr>
        <xdr:cNvSpPr>
          <a:spLocks noChangeAspect="1" noChangeArrowheads="1"/>
        </xdr:cNvSpPr>
      </xdr:nvSpPr>
      <xdr:spPr bwMode="auto">
        <a:xfrm>
          <a:off x="12008827" y="9854712"/>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32</xdr:col>
      <xdr:colOff>0</xdr:colOff>
      <xdr:row>41</xdr:row>
      <xdr:rowOff>0</xdr:rowOff>
    </xdr:from>
    <xdr:ext cx="294426" cy="311400"/>
    <xdr:sp macro="" textlink="">
      <xdr:nvSpPr>
        <xdr:cNvPr id="143" name="AutoShape 2" descr="asian paints colour ideas - TikTok Shop">
          <a:extLst>
            <a:ext uri="{FF2B5EF4-FFF2-40B4-BE49-F238E27FC236}">
              <a16:creationId xmlns:a16="http://schemas.microsoft.com/office/drawing/2014/main" id="{451AA87F-4D0E-4A91-9EAC-EB6FA9DC72D7}"/>
            </a:ext>
          </a:extLst>
        </xdr:cNvPr>
        <xdr:cNvSpPr>
          <a:spLocks noChangeAspect="1" noChangeArrowheads="1"/>
        </xdr:cNvSpPr>
      </xdr:nvSpPr>
      <xdr:spPr bwMode="auto">
        <a:xfrm>
          <a:off x="12008827" y="9854712"/>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32</xdr:col>
      <xdr:colOff>0</xdr:colOff>
      <xdr:row>41</xdr:row>
      <xdr:rowOff>0</xdr:rowOff>
    </xdr:from>
    <xdr:ext cx="294426" cy="311400"/>
    <xdr:sp macro="" textlink="">
      <xdr:nvSpPr>
        <xdr:cNvPr id="144" name="AutoShape 3" descr="asian paints colour ideas - TikTok Shop">
          <a:extLst>
            <a:ext uri="{FF2B5EF4-FFF2-40B4-BE49-F238E27FC236}">
              <a16:creationId xmlns:a16="http://schemas.microsoft.com/office/drawing/2014/main" id="{39A65A07-2B38-4336-9DC1-341C44ED8F18}"/>
            </a:ext>
          </a:extLst>
        </xdr:cNvPr>
        <xdr:cNvSpPr>
          <a:spLocks noChangeAspect="1" noChangeArrowheads="1"/>
        </xdr:cNvSpPr>
      </xdr:nvSpPr>
      <xdr:spPr bwMode="auto">
        <a:xfrm>
          <a:off x="12008827" y="9854712"/>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32</xdr:col>
      <xdr:colOff>0</xdr:colOff>
      <xdr:row>41</xdr:row>
      <xdr:rowOff>0</xdr:rowOff>
    </xdr:from>
    <xdr:ext cx="294426" cy="311400"/>
    <xdr:sp macro="" textlink="">
      <xdr:nvSpPr>
        <xdr:cNvPr id="145" name="AutoShape 4" descr="asian paints colour ideas - TikTok Shop">
          <a:extLst>
            <a:ext uri="{FF2B5EF4-FFF2-40B4-BE49-F238E27FC236}">
              <a16:creationId xmlns:a16="http://schemas.microsoft.com/office/drawing/2014/main" id="{98E264E3-9CF0-4F4B-9B10-ADF32191BE79}"/>
            </a:ext>
          </a:extLst>
        </xdr:cNvPr>
        <xdr:cNvSpPr>
          <a:spLocks noChangeAspect="1" noChangeArrowheads="1"/>
        </xdr:cNvSpPr>
      </xdr:nvSpPr>
      <xdr:spPr bwMode="auto">
        <a:xfrm>
          <a:off x="12008827" y="9854712"/>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32</xdr:col>
      <xdr:colOff>0</xdr:colOff>
      <xdr:row>41</xdr:row>
      <xdr:rowOff>0</xdr:rowOff>
    </xdr:from>
    <xdr:ext cx="294426" cy="312020"/>
    <xdr:sp macro="" textlink="">
      <xdr:nvSpPr>
        <xdr:cNvPr id="146" name="AutoShape 2" descr="asian paints colour ideas - TikTok Shop">
          <a:extLst>
            <a:ext uri="{FF2B5EF4-FFF2-40B4-BE49-F238E27FC236}">
              <a16:creationId xmlns:a16="http://schemas.microsoft.com/office/drawing/2014/main" id="{E798FE06-61DA-46C3-B888-549F814330C6}"/>
            </a:ext>
          </a:extLst>
        </xdr:cNvPr>
        <xdr:cNvSpPr>
          <a:spLocks noChangeAspect="1" noChangeArrowheads="1"/>
        </xdr:cNvSpPr>
      </xdr:nvSpPr>
      <xdr:spPr bwMode="auto">
        <a:xfrm>
          <a:off x="12008827" y="9854712"/>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32</xdr:col>
      <xdr:colOff>0</xdr:colOff>
      <xdr:row>41</xdr:row>
      <xdr:rowOff>0</xdr:rowOff>
    </xdr:from>
    <xdr:ext cx="294426" cy="312020"/>
    <xdr:sp macro="" textlink="">
      <xdr:nvSpPr>
        <xdr:cNvPr id="147" name="AutoShape 3" descr="asian paints colour ideas - TikTok Shop">
          <a:extLst>
            <a:ext uri="{FF2B5EF4-FFF2-40B4-BE49-F238E27FC236}">
              <a16:creationId xmlns:a16="http://schemas.microsoft.com/office/drawing/2014/main" id="{C48CCF9D-B26D-45DC-8DC7-56AAEBF4BDC8}"/>
            </a:ext>
          </a:extLst>
        </xdr:cNvPr>
        <xdr:cNvSpPr>
          <a:spLocks noChangeAspect="1" noChangeArrowheads="1"/>
        </xdr:cNvSpPr>
      </xdr:nvSpPr>
      <xdr:spPr bwMode="auto">
        <a:xfrm>
          <a:off x="12008827" y="9854712"/>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40</xdr:row>
      <xdr:rowOff>0</xdr:rowOff>
    </xdr:from>
    <xdr:ext cx="294426" cy="316177"/>
    <xdr:sp macro="" textlink="">
      <xdr:nvSpPr>
        <xdr:cNvPr id="148" name="AutoShape 2" descr="asian paints colour ideas - TikTok Shop">
          <a:extLst>
            <a:ext uri="{FF2B5EF4-FFF2-40B4-BE49-F238E27FC236}">
              <a16:creationId xmlns:a16="http://schemas.microsoft.com/office/drawing/2014/main" id="{DC9016D2-2EF8-45CA-9825-6E2EAB397593}"/>
            </a:ext>
          </a:extLst>
        </xdr:cNvPr>
        <xdr:cNvSpPr>
          <a:spLocks noChangeAspect="1" noChangeArrowheads="1"/>
        </xdr:cNvSpPr>
      </xdr:nvSpPr>
      <xdr:spPr bwMode="auto">
        <a:xfrm>
          <a:off x="12003852" y="11307704"/>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40</xdr:row>
      <xdr:rowOff>0</xdr:rowOff>
    </xdr:from>
    <xdr:ext cx="294426" cy="316177"/>
    <xdr:sp macro="" textlink="">
      <xdr:nvSpPr>
        <xdr:cNvPr id="149" name="AutoShape 3" descr="asian paints colour ideas - TikTok Shop">
          <a:extLst>
            <a:ext uri="{FF2B5EF4-FFF2-40B4-BE49-F238E27FC236}">
              <a16:creationId xmlns:a16="http://schemas.microsoft.com/office/drawing/2014/main" id="{F30136A2-C86F-4120-B52F-6A5C189D9AF5}"/>
            </a:ext>
          </a:extLst>
        </xdr:cNvPr>
        <xdr:cNvSpPr>
          <a:spLocks noChangeAspect="1" noChangeArrowheads="1"/>
        </xdr:cNvSpPr>
      </xdr:nvSpPr>
      <xdr:spPr bwMode="auto">
        <a:xfrm>
          <a:off x="12003852" y="11307704"/>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40</xdr:row>
      <xdr:rowOff>0</xdr:rowOff>
    </xdr:from>
    <xdr:ext cx="294426" cy="316177"/>
    <xdr:sp macro="" textlink="">
      <xdr:nvSpPr>
        <xdr:cNvPr id="150" name="AutoShape 4" descr="asian paints colour ideas - TikTok Shop">
          <a:extLst>
            <a:ext uri="{FF2B5EF4-FFF2-40B4-BE49-F238E27FC236}">
              <a16:creationId xmlns:a16="http://schemas.microsoft.com/office/drawing/2014/main" id="{427E5AA0-0938-4952-B374-E4961463020F}"/>
            </a:ext>
          </a:extLst>
        </xdr:cNvPr>
        <xdr:cNvSpPr>
          <a:spLocks noChangeAspect="1" noChangeArrowheads="1"/>
        </xdr:cNvSpPr>
      </xdr:nvSpPr>
      <xdr:spPr bwMode="auto">
        <a:xfrm>
          <a:off x="12003852" y="11307704"/>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40</xdr:row>
      <xdr:rowOff>0</xdr:rowOff>
    </xdr:from>
    <xdr:ext cx="294426" cy="311400"/>
    <xdr:sp macro="" textlink="">
      <xdr:nvSpPr>
        <xdr:cNvPr id="151" name="AutoShape 2" descr="asian paints colour ideas - TikTok Shop">
          <a:extLst>
            <a:ext uri="{FF2B5EF4-FFF2-40B4-BE49-F238E27FC236}">
              <a16:creationId xmlns:a16="http://schemas.microsoft.com/office/drawing/2014/main" id="{FCC7D35F-C1D9-4543-ADEE-8F4360866F11}"/>
            </a:ext>
          </a:extLst>
        </xdr:cNvPr>
        <xdr:cNvSpPr>
          <a:spLocks noChangeAspect="1" noChangeArrowheads="1"/>
        </xdr:cNvSpPr>
      </xdr:nvSpPr>
      <xdr:spPr bwMode="auto">
        <a:xfrm>
          <a:off x="12003852" y="11307704"/>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40</xdr:row>
      <xdr:rowOff>0</xdr:rowOff>
    </xdr:from>
    <xdr:ext cx="294426" cy="311400"/>
    <xdr:sp macro="" textlink="">
      <xdr:nvSpPr>
        <xdr:cNvPr id="152" name="AutoShape 3" descr="asian paints colour ideas - TikTok Shop">
          <a:extLst>
            <a:ext uri="{FF2B5EF4-FFF2-40B4-BE49-F238E27FC236}">
              <a16:creationId xmlns:a16="http://schemas.microsoft.com/office/drawing/2014/main" id="{D4DFD513-72FD-4BF1-8EE2-0EC73EDB0521}"/>
            </a:ext>
          </a:extLst>
        </xdr:cNvPr>
        <xdr:cNvSpPr>
          <a:spLocks noChangeAspect="1" noChangeArrowheads="1"/>
        </xdr:cNvSpPr>
      </xdr:nvSpPr>
      <xdr:spPr bwMode="auto">
        <a:xfrm>
          <a:off x="12003852" y="11307704"/>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40</xdr:row>
      <xdr:rowOff>0</xdr:rowOff>
    </xdr:from>
    <xdr:ext cx="294426" cy="311400"/>
    <xdr:sp macro="" textlink="">
      <xdr:nvSpPr>
        <xdr:cNvPr id="153" name="AutoShape 4" descr="asian paints colour ideas - TikTok Shop">
          <a:extLst>
            <a:ext uri="{FF2B5EF4-FFF2-40B4-BE49-F238E27FC236}">
              <a16:creationId xmlns:a16="http://schemas.microsoft.com/office/drawing/2014/main" id="{C5870D64-5053-425C-A1A2-4888BFA92D73}"/>
            </a:ext>
          </a:extLst>
        </xdr:cNvPr>
        <xdr:cNvSpPr>
          <a:spLocks noChangeAspect="1" noChangeArrowheads="1"/>
        </xdr:cNvSpPr>
      </xdr:nvSpPr>
      <xdr:spPr bwMode="auto">
        <a:xfrm>
          <a:off x="12003852" y="11307704"/>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40</xdr:row>
      <xdr:rowOff>0</xdr:rowOff>
    </xdr:from>
    <xdr:ext cx="294426" cy="312020"/>
    <xdr:sp macro="" textlink="">
      <xdr:nvSpPr>
        <xdr:cNvPr id="154" name="AutoShape 2" descr="asian paints colour ideas - TikTok Shop">
          <a:extLst>
            <a:ext uri="{FF2B5EF4-FFF2-40B4-BE49-F238E27FC236}">
              <a16:creationId xmlns:a16="http://schemas.microsoft.com/office/drawing/2014/main" id="{4CD9E4F5-259D-4F8A-95B8-B370564B7D3F}"/>
            </a:ext>
          </a:extLst>
        </xdr:cNvPr>
        <xdr:cNvSpPr>
          <a:spLocks noChangeAspect="1" noChangeArrowheads="1"/>
        </xdr:cNvSpPr>
      </xdr:nvSpPr>
      <xdr:spPr bwMode="auto">
        <a:xfrm>
          <a:off x="12003852" y="11307704"/>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40</xdr:row>
      <xdr:rowOff>0</xdr:rowOff>
    </xdr:from>
    <xdr:ext cx="294426" cy="312020"/>
    <xdr:sp macro="" textlink="">
      <xdr:nvSpPr>
        <xdr:cNvPr id="155" name="AutoShape 3" descr="asian paints colour ideas - TikTok Shop">
          <a:extLst>
            <a:ext uri="{FF2B5EF4-FFF2-40B4-BE49-F238E27FC236}">
              <a16:creationId xmlns:a16="http://schemas.microsoft.com/office/drawing/2014/main" id="{924A1C6F-2DFA-455D-A3C4-2808BCE97F53}"/>
            </a:ext>
          </a:extLst>
        </xdr:cNvPr>
        <xdr:cNvSpPr>
          <a:spLocks noChangeAspect="1" noChangeArrowheads="1"/>
        </xdr:cNvSpPr>
      </xdr:nvSpPr>
      <xdr:spPr bwMode="auto">
        <a:xfrm>
          <a:off x="12003852" y="11307704"/>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41</xdr:row>
      <xdr:rowOff>0</xdr:rowOff>
    </xdr:from>
    <xdr:ext cx="294426" cy="316177"/>
    <xdr:sp macro="" textlink="">
      <xdr:nvSpPr>
        <xdr:cNvPr id="156" name="AutoShape 2" descr="asian paints colour ideas - TikTok Shop">
          <a:extLst>
            <a:ext uri="{FF2B5EF4-FFF2-40B4-BE49-F238E27FC236}">
              <a16:creationId xmlns:a16="http://schemas.microsoft.com/office/drawing/2014/main" id="{B51D237B-DF04-4A56-BE78-966B82B9EF24}"/>
            </a:ext>
          </a:extLst>
        </xdr:cNvPr>
        <xdr:cNvSpPr>
          <a:spLocks noChangeAspect="1" noChangeArrowheads="1"/>
        </xdr:cNvSpPr>
      </xdr:nvSpPr>
      <xdr:spPr bwMode="auto">
        <a:xfrm>
          <a:off x="12003852" y="11495852"/>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41</xdr:row>
      <xdr:rowOff>0</xdr:rowOff>
    </xdr:from>
    <xdr:ext cx="294426" cy="316177"/>
    <xdr:sp macro="" textlink="">
      <xdr:nvSpPr>
        <xdr:cNvPr id="157" name="AutoShape 3" descr="asian paints colour ideas - TikTok Shop">
          <a:extLst>
            <a:ext uri="{FF2B5EF4-FFF2-40B4-BE49-F238E27FC236}">
              <a16:creationId xmlns:a16="http://schemas.microsoft.com/office/drawing/2014/main" id="{CE6FEB1E-88CA-46FE-801F-67F2F4129D48}"/>
            </a:ext>
          </a:extLst>
        </xdr:cNvPr>
        <xdr:cNvSpPr>
          <a:spLocks noChangeAspect="1" noChangeArrowheads="1"/>
        </xdr:cNvSpPr>
      </xdr:nvSpPr>
      <xdr:spPr bwMode="auto">
        <a:xfrm>
          <a:off x="12003852" y="11495852"/>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41</xdr:row>
      <xdr:rowOff>0</xdr:rowOff>
    </xdr:from>
    <xdr:ext cx="294426" cy="316177"/>
    <xdr:sp macro="" textlink="">
      <xdr:nvSpPr>
        <xdr:cNvPr id="158" name="AutoShape 4" descr="asian paints colour ideas - TikTok Shop">
          <a:extLst>
            <a:ext uri="{FF2B5EF4-FFF2-40B4-BE49-F238E27FC236}">
              <a16:creationId xmlns:a16="http://schemas.microsoft.com/office/drawing/2014/main" id="{0ACB0A06-59F7-4A36-BFFA-842E7312E1CE}"/>
            </a:ext>
          </a:extLst>
        </xdr:cNvPr>
        <xdr:cNvSpPr>
          <a:spLocks noChangeAspect="1" noChangeArrowheads="1"/>
        </xdr:cNvSpPr>
      </xdr:nvSpPr>
      <xdr:spPr bwMode="auto">
        <a:xfrm>
          <a:off x="12003852" y="11495852"/>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41</xdr:row>
      <xdr:rowOff>0</xdr:rowOff>
    </xdr:from>
    <xdr:ext cx="294426" cy="311400"/>
    <xdr:sp macro="" textlink="">
      <xdr:nvSpPr>
        <xdr:cNvPr id="159" name="AutoShape 2" descr="asian paints colour ideas - TikTok Shop">
          <a:extLst>
            <a:ext uri="{FF2B5EF4-FFF2-40B4-BE49-F238E27FC236}">
              <a16:creationId xmlns:a16="http://schemas.microsoft.com/office/drawing/2014/main" id="{60E6225A-585D-4E06-AEA6-16408D40A5E8}"/>
            </a:ext>
          </a:extLst>
        </xdr:cNvPr>
        <xdr:cNvSpPr>
          <a:spLocks noChangeAspect="1" noChangeArrowheads="1"/>
        </xdr:cNvSpPr>
      </xdr:nvSpPr>
      <xdr:spPr bwMode="auto">
        <a:xfrm>
          <a:off x="12003852" y="11495852"/>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41</xdr:row>
      <xdr:rowOff>0</xdr:rowOff>
    </xdr:from>
    <xdr:ext cx="294426" cy="311400"/>
    <xdr:sp macro="" textlink="">
      <xdr:nvSpPr>
        <xdr:cNvPr id="160" name="AutoShape 3" descr="asian paints colour ideas - TikTok Shop">
          <a:extLst>
            <a:ext uri="{FF2B5EF4-FFF2-40B4-BE49-F238E27FC236}">
              <a16:creationId xmlns:a16="http://schemas.microsoft.com/office/drawing/2014/main" id="{D8AF9B33-B036-47F5-ACF9-2DDF88471E86}"/>
            </a:ext>
          </a:extLst>
        </xdr:cNvPr>
        <xdr:cNvSpPr>
          <a:spLocks noChangeAspect="1" noChangeArrowheads="1"/>
        </xdr:cNvSpPr>
      </xdr:nvSpPr>
      <xdr:spPr bwMode="auto">
        <a:xfrm>
          <a:off x="12003852" y="11495852"/>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41</xdr:row>
      <xdr:rowOff>0</xdr:rowOff>
    </xdr:from>
    <xdr:ext cx="294426" cy="311400"/>
    <xdr:sp macro="" textlink="">
      <xdr:nvSpPr>
        <xdr:cNvPr id="161" name="AutoShape 4" descr="asian paints colour ideas - TikTok Shop">
          <a:extLst>
            <a:ext uri="{FF2B5EF4-FFF2-40B4-BE49-F238E27FC236}">
              <a16:creationId xmlns:a16="http://schemas.microsoft.com/office/drawing/2014/main" id="{515B960D-4E92-4636-8791-CD1DCDF8EFE5}"/>
            </a:ext>
          </a:extLst>
        </xdr:cNvPr>
        <xdr:cNvSpPr>
          <a:spLocks noChangeAspect="1" noChangeArrowheads="1"/>
        </xdr:cNvSpPr>
      </xdr:nvSpPr>
      <xdr:spPr bwMode="auto">
        <a:xfrm>
          <a:off x="12003852" y="11495852"/>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41</xdr:row>
      <xdr:rowOff>0</xdr:rowOff>
    </xdr:from>
    <xdr:ext cx="294426" cy="312020"/>
    <xdr:sp macro="" textlink="">
      <xdr:nvSpPr>
        <xdr:cNvPr id="162" name="AutoShape 2" descr="asian paints colour ideas - TikTok Shop">
          <a:extLst>
            <a:ext uri="{FF2B5EF4-FFF2-40B4-BE49-F238E27FC236}">
              <a16:creationId xmlns:a16="http://schemas.microsoft.com/office/drawing/2014/main" id="{77C3D1BE-D539-4394-BCA4-882D63DEED10}"/>
            </a:ext>
          </a:extLst>
        </xdr:cNvPr>
        <xdr:cNvSpPr>
          <a:spLocks noChangeAspect="1" noChangeArrowheads="1"/>
        </xdr:cNvSpPr>
      </xdr:nvSpPr>
      <xdr:spPr bwMode="auto">
        <a:xfrm>
          <a:off x="12003852" y="11495852"/>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41</xdr:row>
      <xdr:rowOff>0</xdr:rowOff>
    </xdr:from>
    <xdr:ext cx="294426" cy="312020"/>
    <xdr:sp macro="" textlink="">
      <xdr:nvSpPr>
        <xdr:cNvPr id="163" name="AutoShape 3" descr="asian paints colour ideas - TikTok Shop">
          <a:extLst>
            <a:ext uri="{FF2B5EF4-FFF2-40B4-BE49-F238E27FC236}">
              <a16:creationId xmlns:a16="http://schemas.microsoft.com/office/drawing/2014/main" id="{03504DF9-E5D3-4528-88E5-BE42F3380EDA}"/>
            </a:ext>
          </a:extLst>
        </xdr:cNvPr>
        <xdr:cNvSpPr>
          <a:spLocks noChangeAspect="1" noChangeArrowheads="1"/>
        </xdr:cNvSpPr>
      </xdr:nvSpPr>
      <xdr:spPr bwMode="auto">
        <a:xfrm>
          <a:off x="12003852" y="11495852"/>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40</xdr:row>
      <xdr:rowOff>0</xdr:rowOff>
    </xdr:from>
    <xdr:ext cx="294426" cy="316177"/>
    <xdr:sp macro="" textlink="">
      <xdr:nvSpPr>
        <xdr:cNvPr id="164" name="AutoShape 2" descr="asian paints colour ideas - TikTok Shop">
          <a:extLst>
            <a:ext uri="{FF2B5EF4-FFF2-40B4-BE49-F238E27FC236}">
              <a16:creationId xmlns:a16="http://schemas.microsoft.com/office/drawing/2014/main" id="{A58559FC-ECA6-4AF1-BCFA-80E4427897A5}"/>
            </a:ext>
          </a:extLst>
        </xdr:cNvPr>
        <xdr:cNvSpPr>
          <a:spLocks noChangeAspect="1" noChangeArrowheads="1"/>
        </xdr:cNvSpPr>
      </xdr:nvSpPr>
      <xdr:spPr bwMode="auto">
        <a:xfrm>
          <a:off x="12003852" y="11307704"/>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40</xdr:row>
      <xdr:rowOff>0</xdr:rowOff>
    </xdr:from>
    <xdr:ext cx="294426" cy="316177"/>
    <xdr:sp macro="" textlink="">
      <xdr:nvSpPr>
        <xdr:cNvPr id="165" name="AutoShape 3" descr="asian paints colour ideas - TikTok Shop">
          <a:extLst>
            <a:ext uri="{FF2B5EF4-FFF2-40B4-BE49-F238E27FC236}">
              <a16:creationId xmlns:a16="http://schemas.microsoft.com/office/drawing/2014/main" id="{E93BA537-109E-418D-8FA7-DFC558821740}"/>
            </a:ext>
          </a:extLst>
        </xdr:cNvPr>
        <xdr:cNvSpPr>
          <a:spLocks noChangeAspect="1" noChangeArrowheads="1"/>
        </xdr:cNvSpPr>
      </xdr:nvSpPr>
      <xdr:spPr bwMode="auto">
        <a:xfrm>
          <a:off x="12003852" y="11307704"/>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40</xdr:row>
      <xdr:rowOff>0</xdr:rowOff>
    </xdr:from>
    <xdr:ext cx="294426" cy="316177"/>
    <xdr:sp macro="" textlink="">
      <xdr:nvSpPr>
        <xdr:cNvPr id="235" name="AutoShape 4" descr="asian paints colour ideas - TikTok Shop">
          <a:extLst>
            <a:ext uri="{FF2B5EF4-FFF2-40B4-BE49-F238E27FC236}">
              <a16:creationId xmlns:a16="http://schemas.microsoft.com/office/drawing/2014/main" id="{78189937-701D-4A79-B13E-2BE39C949B7C}"/>
            </a:ext>
          </a:extLst>
        </xdr:cNvPr>
        <xdr:cNvSpPr>
          <a:spLocks noChangeAspect="1" noChangeArrowheads="1"/>
        </xdr:cNvSpPr>
      </xdr:nvSpPr>
      <xdr:spPr bwMode="auto">
        <a:xfrm>
          <a:off x="12003852" y="11307704"/>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40</xdr:row>
      <xdr:rowOff>0</xdr:rowOff>
    </xdr:from>
    <xdr:ext cx="294426" cy="311400"/>
    <xdr:sp macro="" textlink="">
      <xdr:nvSpPr>
        <xdr:cNvPr id="236" name="AutoShape 2" descr="asian paints colour ideas - TikTok Shop">
          <a:extLst>
            <a:ext uri="{FF2B5EF4-FFF2-40B4-BE49-F238E27FC236}">
              <a16:creationId xmlns:a16="http://schemas.microsoft.com/office/drawing/2014/main" id="{488F68B5-260D-4A4E-BF8D-DEF6B4344B84}"/>
            </a:ext>
          </a:extLst>
        </xdr:cNvPr>
        <xdr:cNvSpPr>
          <a:spLocks noChangeAspect="1" noChangeArrowheads="1"/>
        </xdr:cNvSpPr>
      </xdr:nvSpPr>
      <xdr:spPr bwMode="auto">
        <a:xfrm>
          <a:off x="12003852" y="11307704"/>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40</xdr:row>
      <xdr:rowOff>0</xdr:rowOff>
    </xdr:from>
    <xdr:ext cx="294426" cy="311400"/>
    <xdr:sp macro="" textlink="">
      <xdr:nvSpPr>
        <xdr:cNvPr id="237" name="AutoShape 3" descr="asian paints colour ideas - TikTok Shop">
          <a:extLst>
            <a:ext uri="{FF2B5EF4-FFF2-40B4-BE49-F238E27FC236}">
              <a16:creationId xmlns:a16="http://schemas.microsoft.com/office/drawing/2014/main" id="{486E5C8F-1867-486A-8046-A4B14F788E05}"/>
            </a:ext>
          </a:extLst>
        </xdr:cNvPr>
        <xdr:cNvSpPr>
          <a:spLocks noChangeAspect="1" noChangeArrowheads="1"/>
        </xdr:cNvSpPr>
      </xdr:nvSpPr>
      <xdr:spPr bwMode="auto">
        <a:xfrm>
          <a:off x="12003852" y="11307704"/>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40</xdr:row>
      <xdr:rowOff>0</xdr:rowOff>
    </xdr:from>
    <xdr:ext cx="294426" cy="311400"/>
    <xdr:sp macro="" textlink="">
      <xdr:nvSpPr>
        <xdr:cNvPr id="238" name="AutoShape 4" descr="asian paints colour ideas - TikTok Shop">
          <a:extLst>
            <a:ext uri="{FF2B5EF4-FFF2-40B4-BE49-F238E27FC236}">
              <a16:creationId xmlns:a16="http://schemas.microsoft.com/office/drawing/2014/main" id="{90099545-F06F-4827-A4BE-320697847969}"/>
            </a:ext>
          </a:extLst>
        </xdr:cNvPr>
        <xdr:cNvSpPr>
          <a:spLocks noChangeAspect="1" noChangeArrowheads="1"/>
        </xdr:cNvSpPr>
      </xdr:nvSpPr>
      <xdr:spPr bwMode="auto">
        <a:xfrm>
          <a:off x="12003852" y="11307704"/>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40</xdr:row>
      <xdr:rowOff>0</xdr:rowOff>
    </xdr:from>
    <xdr:ext cx="294426" cy="312020"/>
    <xdr:sp macro="" textlink="">
      <xdr:nvSpPr>
        <xdr:cNvPr id="239" name="AutoShape 2" descr="asian paints colour ideas - TikTok Shop">
          <a:extLst>
            <a:ext uri="{FF2B5EF4-FFF2-40B4-BE49-F238E27FC236}">
              <a16:creationId xmlns:a16="http://schemas.microsoft.com/office/drawing/2014/main" id="{63C35BD6-2126-485B-839B-98281A79C298}"/>
            </a:ext>
          </a:extLst>
        </xdr:cNvPr>
        <xdr:cNvSpPr>
          <a:spLocks noChangeAspect="1" noChangeArrowheads="1"/>
        </xdr:cNvSpPr>
      </xdr:nvSpPr>
      <xdr:spPr bwMode="auto">
        <a:xfrm>
          <a:off x="12003852" y="11307704"/>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40</xdr:row>
      <xdr:rowOff>0</xdr:rowOff>
    </xdr:from>
    <xdr:ext cx="294426" cy="312020"/>
    <xdr:sp macro="" textlink="">
      <xdr:nvSpPr>
        <xdr:cNvPr id="240" name="AutoShape 3" descr="asian paints colour ideas - TikTok Shop">
          <a:extLst>
            <a:ext uri="{FF2B5EF4-FFF2-40B4-BE49-F238E27FC236}">
              <a16:creationId xmlns:a16="http://schemas.microsoft.com/office/drawing/2014/main" id="{76B8910A-BE74-4EFC-B61B-60EB2FB52086}"/>
            </a:ext>
          </a:extLst>
        </xdr:cNvPr>
        <xdr:cNvSpPr>
          <a:spLocks noChangeAspect="1" noChangeArrowheads="1"/>
        </xdr:cNvSpPr>
      </xdr:nvSpPr>
      <xdr:spPr bwMode="auto">
        <a:xfrm>
          <a:off x="12003852" y="11307704"/>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41</xdr:row>
      <xdr:rowOff>0</xdr:rowOff>
    </xdr:from>
    <xdr:ext cx="294426" cy="316177"/>
    <xdr:sp macro="" textlink="">
      <xdr:nvSpPr>
        <xdr:cNvPr id="241" name="AutoShape 2" descr="asian paints colour ideas - TikTok Shop">
          <a:extLst>
            <a:ext uri="{FF2B5EF4-FFF2-40B4-BE49-F238E27FC236}">
              <a16:creationId xmlns:a16="http://schemas.microsoft.com/office/drawing/2014/main" id="{CDE5D40C-26A6-4F58-A28B-DAD7C24BBA5E}"/>
            </a:ext>
          </a:extLst>
        </xdr:cNvPr>
        <xdr:cNvSpPr>
          <a:spLocks noChangeAspect="1" noChangeArrowheads="1"/>
        </xdr:cNvSpPr>
      </xdr:nvSpPr>
      <xdr:spPr bwMode="auto">
        <a:xfrm>
          <a:off x="12003852" y="11495852"/>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41</xdr:row>
      <xdr:rowOff>0</xdr:rowOff>
    </xdr:from>
    <xdr:ext cx="294426" cy="316177"/>
    <xdr:sp macro="" textlink="">
      <xdr:nvSpPr>
        <xdr:cNvPr id="242" name="AutoShape 3" descr="asian paints colour ideas - TikTok Shop">
          <a:extLst>
            <a:ext uri="{FF2B5EF4-FFF2-40B4-BE49-F238E27FC236}">
              <a16:creationId xmlns:a16="http://schemas.microsoft.com/office/drawing/2014/main" id="{A150E054-B23A-4591-884B-E9587766BAB9}"/>
            </a:ext>
          </a:extLst>
        </xdr:cNvPr>
        <xdr:cNvSpPr>
          <a:spLocks noChangeAspect="1" noChangeArrowheads="1"/>
        </xdr:cNvSpPr>
      </xdr:nvSpPr>
      <xdr:spPr bwMode="auto">
        <a:xfrm>
          <a:off x="12003852" y="11495852"/>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41</xdr:row>
      <xdr:rowOff>0</xdr:rowOff>
    </xdr:from>
    <xdr:ext cx="294426" cy="316177"/>
    <xdr:sp macro="" textlink="">
      <xdr:nvSpPr>
        <xdr:cNvPr id="243" name="AutoShape 4" descr="asian paints colour ideas - TikTok Shop">
          <a:extLst>
            <a:ext uri="{FF2B5EF4-FFF2-40B4-BE49-F238E27FC236}">
              <a16:creationId xmlns:a16="http://schemas.microsoft.com/office/drawing/2014/main" id="{C7ED0E72-9778-43F3-97DD-1137484D0D0B}"/>
            </a:ext>
          </a:extLst>
        </xdr:cNvPr>
        <xdr:cNvSpPr>
          <a:spLocks noChangeAspect="1" noChangeArrowheads="1"/>
        </xdr:cNvSpPr>
      </xdr:nvSpPr>
      <xdr:spPr bwMode="auto">
        <a:xfrm>
          <a:off x="12003852" y="11495852"/>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41</xdr:row>
      <xdr:rowOff>0</xdr:rowOff>
    </xdr:from>
    <xdr:ext cx="294426" cy="311400"/>
    <xdr:sp macro="" textlink="">
      <xdr:nvSpPr>
        <xdr:cNvPr id="244" name="AutoShape 2" descr="asian paints colour ideas - TikTok Shop">
          <a:extLst>
            <a:ext uri="{FF2B5EF4-FFF2-40B4-BE49-F238E27FC236}">
              <a16:creationId xmlns:a16="http://schemas.microsoft.com/office/drawing/2014/main" id="{2D3BCF5B-75B4-420F-BDF6-37D16E91CCDA}"/>
            </a:ext>
          </a:extLst>
        </xdr:cNvPr>
        <xdr:cNvSpPr>
          <a:spLocks noChangeAspect="1" noChangeArrowheads="1"/>
        </xdr:cNvSpPr>
      </xdr:nvSpPr>
      <xdr:spPr bwMode="auto">
        <a:xfrm>
          <a:off x="12003852" y="11495852"/>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41</xdr:row>
      <xdr:rowOff>0</xdr:rowOff>
    </xdr:from>
    <xdr:ext cx="294426" cy="311400"/>
    <xdr:sp macro="" textlink="">
      <xdr:nvSpPr>
        <xdr:cNvPr id="245" name="AutoShape 3" descr="asian paints colour ideas - TikTok Shop">
          <a:extLst>
            <a:ext uri="{FF2B5EF4-FFF2-40B4-BE49-F238E27FC236}">
              <a16:creationId xmlns:a16="http://schemas.microsoft.com/office/drawing/2014/main" id="{288C063C-3518-4FD6-8B3E-ACC1C9939D54}"/>
            </a:ext>
          </a:extLst>
        </xdr:cNvPr>
        <xdr:cNvSpPr>
          <a:spLocks noChangeAspect="1" noChangeArrowheads="1"/>
        </xdr:cNvSpPr>
      </xdr:nvSpPr>
      <xdr:spPr bwMode="auto">
        <a:xfrm>
          <a:off x="12003852" y="11495852"/>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41</xdr:row>
      <xdr:rowOff>0</xdr:rowOff>
    </xdr:from>
    <xdr:ext cx="294426" cy="311400"/>
    <xdr:sp macro="" textlink="">
      <xdr:nvSpPr>
        <xdr:cNvPr id="246" name="AutoShape 4" descr="asian paints colour ideas - TikTok Shop">
          <a:extLst>
            <a:ext uri="{FF2B5EF4-FFF2-40B4-BE49-F238E27FC236}">
              <a16:creationId xmlns:a16="http://schemas.microsoft.com/office/drawing/2014/main" id="{5B25BBDC-A4BA-4B82-8B59-94CD16A3D9AF}"/>
            </a:ext>
          </a:extLst>
        </xdr:cNvPr>
        <xdr:cNvSpPr>
          <a:spLocks noChangeAspect="1" noChangeArrowheads="1"/>
        </xdr:cNvSpPr>
      </xdr:nvSpPr>
      <xdr:spPr bwMode="auto">
        <a:xfrm>
          <a:off x="12003852" y="11495852"/>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41</xdr:row>
      <xdr:rowOff>0</xdr:rowOff>
    </xdr:from>
    <xdr:ext cx="294426" cy="312020"/>
    <xdr:sp macro="" textlink="">
      <xdr:nvSpPr>
        <xdr:cNvPr id="247" name="AutoShape 2" descr="asian paints colour ideas - TikTok Shop">
          <a:extLst>
            <a:ext uri="{FF2B5EF4-FFF2-40B4-BE49-F238E27FC236}">
              <a16:creationId xmlns:a16="http://schemas.microsoft.com/office/drawing/2014/main" id="{F043B3BA-8202-47E0-9FC8-792A17CA3379}"/>
            </a:ext>
          </a:extLst>
        </xdr:cNvPr>
        <xdr:cNvSpPr>
          <a:spLocks noChangeAspect="1" noChangeArrowheads="1"/>
        </xdr:cNvSpPr>
      </xdr:nvSpPr>
      <xdr:spPr bwMode="auto">
        <a:xfrm>
          <a:off x="12003852" y="11495852"/>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41</xdr:row>
      <xdr:rowOff>0</xdr:rowOff>
    </xdr:from>
    <xdr:ext cx="294426" cy="312020"/>
    <xdr:sp macro="" textlink="">
      <xdr:nvSpPr>
        <xdr:cNvPr id="248" name="AutoShape 3" descr="asian paints colour ideas - TikTok Shop">
          <a:extLst>
            <a:ext uri="{FF2B5EF4-FFF2-40B4-BE49-F238E27FC236}">
              <a16:creationId xmlns:a16="http://schemas.microsoft.com/office/drawing/2014/main" id="{BFD2F715-D23E-40CA-AD0F-FB8BC0975F7D}"/>
            </a:ext>
          </a:extLst>
        </xdr:cNvPr>
        <xdr:cNvSpPr>
          <a:spLocks noChangeAspect="1" noChangeArrowheads="1"/>
        </xdr:cNvSpPr>
      </xdr:nvSpPr>
      <xdr:spPr bwMode="auto">
        <a:xfrm>
          <a:off x="12003852" y="11495852"/>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54</xdr:row>
      <xdr:rowOff>0</xdr:rowOff>
    </xdr:from>
    <xdr:ext cx="294426" cy="316177"/>
    <xdr:sp macro="" textlink="">
      <xdr:nvSpPr>
        <xdr:cNvPr id="249" name="AutoShape 2" descr="asian paints colour ideas - TikTok Shop">
          <a:extLst>
            <a:ext uri="{FF2B5EF4-FFF2-40B4-BE49-F238E27FC236}">
              <a16:creationId xmlns:a16="http://schemas.microsoft.com/office/drawing/2014/main" id="{112102B5-B544-4115-8482-424EF1011E5C}"/>
            </a:ext>
          </a:extLst>
        </xdr:cNvPr>
        <xdr:cNvSpPr>
          <a:spLocks noChangeAspect="1" noChangeArrowheads="1"/>
        </xdr:cNvSpPr>
      </xdr:nvSpPr>
      <xdr:spPr bwMode="auto">
        <a:xfrm>
          <a:off x="12003852" y="11307704"/>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54</xdr:row>
      <xdr:rowOff>0</xdr:rowOff>
    </xdr:from>
    <xdr:ext cx="294426" cy="316177"/>
    <xdr:sp macro="" textlink="">
      <xdr:nvSpPr>
        <xdr:cNvPr id="250" name="AutoShape 3" descr="asian paints colour ideas - TikTok Shop">
          <a:extLst>
            <a:ext uri="{FF2B5EF4-FFF2-40B4-BE49-F238E27FC236}">
              <a16:creationId xmlns:a16="http://schemas.microsoft.com/office/drawing/2014/main" id="{616B73B9-F31B-4C79-9E92-462BCAA24130}"/>
            </a:ext>
          </a:extLst>
        </xdr:cNvPr>
        <xdr:cNvSpPr>
          <a:spLocks noChangeAspect="1" noChangeArrowheads="1"/>
        </xdr:cNvSpPr>
      </xdr:nvSpPr>
      <xdr:spPr bwMode="auto">
        <a:xfrm>
          <a:off x="12003852" y="11307704"/>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54</xdr:row>
      <xdr:rowOff>0</xdr:rowOff>
    </xdr:from>
    <xdr:ext cx="294426" cy="316177"/>
    <xdr:sp macro="" textlink="">
      <xdr:nvSpPr>
        <xdr:cNvPr id="251" name="AutoShape 4" descr="asian paints colour ideas - TikTok Shop">
          <a:extLst>
            <a:ext uri="{FF2B5EF4-FFF2-40B4-BE49-F238E27FC236}">
              <a16:creationId xmlns:a16="http://schemas.microsoft.com/office/drawing/2014/main" id="{2CB6DBFD-FBB5-47FF-971E-880DEF1B555E}"/>
            </a:ext>
          </a:extLst>
        </xdr:cNvPr>
        <xdr:cNvSpPr>
          <a:spLocks noChangeAspect="1" noChangeArrowheads="1"/>
        </xdr:cNvSpPr>
      </xdr:nvSpPr>
      <xdr:spPr bwMode="auto">
        <a:xfrm>
          <a:off x="12003852" y="11307704"/>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54</xdr:row>
      <xdr:rowOff>0</xdr:rowOff>
    </xdr:from>
    <xdr:ext cx="294426" cy="311400"/>
    <xdr:sp macro="" textlink="">
      <xdr:nvSpPr>
        <xdr:cNvPr id="252" name="AutoShape 2" descr="asian paints colour ideas - TikTok Shop">
          <a:extLst>
            <a:ext uri="{FF2B5EF4-FFF2-40B4-BE49-F238E27FC236}">
              <a16:creationId xmlns:a16="http://schemas.microsoft.com/office/drawing/2014/main" id="{0CB0B161-E4D1-447D-ADB4-0D3DE0DFB5CC}"/>
            </a:ext>
          </a:extLst>
        </xdr:cNvPr>
        <xdr:cNvSpPr>
          <a:spLocks noChangeAspect="1" noChangeArrowheads="1"/>
        </xdr:cNvSpPr>
      </xdr:nvSpPr>
      <xdr:spPr bwMode="auto">
        <a:xfrm>
          <a:off x="12003852" y="11307704"/>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54</xdr:row>
      <xdr:rowOff>0</xdr:rowOff>
    </xdr:from>
    <xdr:ext cx="294426" cy="311400"/>
    <xdr:sp macro="" textlink="">
      <xdr:nvSpPr>
        <xdr:cNvPr id="253" name="AutoShape 3" descr="asian paints colour ideas - TikTok Shop">
          <a:extLst>
            <a:ext uri="{FF2B5EF4-FFF2-40B4-BE49-F238E27FC236}">
              <a16:creationId xmlns:a16="http://schemas.microsoft.com/office/drawing/2014/main" id="{62697246-037A-4EBD-A3A6-99AA9F0A2262}"/>
            </a:ext>
          </a:extLst>
        </xdr:cNvPr>
        <xdr:cNvSpPr>
          <a:spLocks noChangeAspect="1" noChangeArrowheads="1"/>
        </xdr:cNvSpPr>
      </xdr:nvSpPr>
      <xdr:spPr bwMode="auto">
        <a:xfrm>
          <a:off x="12003852" y="11307704"/>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54</xdr:row>
      <xdr:rowOff>0</xdr:rowOff>
    </xdr:from>
    <xdr:ext cx="294426" cy="311400"/>
    <xdr:sp macro="" textlink="">
      <xdr:nvSpPr>
        <xdr:cNvPr id="254" name="AutoShape 4" descr="asian paints colour ideas - TikTok Shop">
          <a:extLst>
            <a:ext uri="{FF2B5EF4-FFF2-40B4-BE49-F238E27FC236}">
              <a16:creationId xmlns:a16="http://schemas.microsoft.com/office/drawing/2014/main" id="{B87CF34D-F959-4710-A296-FABAED25700C}"/>
            </a:ext>
          </a:extLst>
        </xdr:cNvPr>
        <xdr:cNvSpPr>
          <a:spLocks noChangeAspect="1" noChangeArrowheads="1"/>
        </xdr:cNvSpPr>
      </xdr:nvSpPr>
      <xdr:spPr bwMode="auto">
        <a:xfrm>
          <a:off x="12003852" y="11307704"/>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54</xdr:row>
      <xdr:rowOff>0</xdr:rowOff>
    </xdr:from>
    <xdr:ext cx="294426" cy="312020"/>
    <xdr:sp macro="" textlink="">
      <xdr:nvSpPr>
        <xdr:cNvPr id="255" name="AutoShape 2" descr="asian paints colour ideas - TikTok Shop">
          <a:extLst>
            <a:ext uri="{FF2B5EF4-FFF2-40B4-BE49-F238E27FC236}">
              <a16:creationId xmlns:a16="http://schemas.microsoft.com/office/drawing/2014/main" id="{31831F9D-BB59-425A-B0CB-46AA64D945B4}"/>
            </a:ext>
          </a:extLst>
        </xdr:cNvPr>
        <xdr:cNvSpPr>
          <a:spLocks noChangeAspect="1" noChangeArrowheads="1"/>
        </xdr:cNvSpPr>
      </xdr:nvSpPr>
      <xdr:spPr bwMode="auto">
        <a:xfrm>
          <a:off x="12003852" y="11307704"/>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54</xdr:row>
      <xdr:rowOff>0</xdr:rowOff>
    </xdr:from>
    <xdr:ext cx="294426" cy="312020"/>
    <xdr:sp macro="" textlink="">
      <xdr:nvSpPr>
        <xdr:cNvPr id="256" name="AutoShape 3" descr="asian paints colour ideas - TikTok Shop">
          <a:extLst>
            <a:ext uri="{FF2B5EF4-FFF2-40B4-BE49-F238E27FC236}">
              <a16:creationId xmlns:a16="http://schemas.microsoft.com/office/drawing/2014/main" id="{F441162E-E0B6-4F4F-915B-F65782E0879E}"/>
            </a:ext>
          </a:extLst>
        </xdr:cNvPr>
        <xdr:cNvSpPr>
          <a:spLocks noChangeAspect="1" noChangeArrowheads="1"/>
        </xdr:cNvSpPr>
      </xdr:nvSpPr>
      <xdr:spPr bwMode="auto">
        <a:xfrm>
          <a:off x="12003852" y="11307704"/>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55</xdr:row>
      <xdr:rowOff>0</xdr:rowOff>
    </xdr:from>
    <xdr:ext cx="294426" cy="316177"/>
    <xdr:sp macro="" textlink="">
      <xdr:nvSpPr>
        <xdr:cNvPr id="257" name="AutoShape 2" descr="asian paints colour ideas - TikTok Shop">
          <a:extLst>
            <a:ext uri="{FF2B5EF4-FFF2-40B4-BE49-F238E27FC236}">
              <a16:creationId xmlns:a16="http://schemas.microsoft.com/office/drawing/2014/main" id="{2C641F80-6154-4951-AFD2-E7DEE1AD4A87}"/>
            </a:ext>
          </a:extLst>
        </xdr:cNvPr>
        <xdr:cNvSpPr>
          <a:spLocks noChangeAspect="1" noChangeArrowheads="1"/>
        </xdr:cNvSpPr>
      </xdr:nvSpPr>
      <xdr:spPr bwMode="auto">
        <a:xfrm>
          <a:off x="12003852" y="11495852"/>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55</xdr:row>
      <xdr:rowOff>0</xdr:rowOff>
    </xdr:from>
    <xdr:ext cx="294426" cy="316177"/>
    <xdr:sp macro="" textlink="">
      <xdr:nvSpPr>
        <xdr:cNvPr id="258" name="AutoShape 3" descr="asian paints colour ideas - TikTok Shop">
          <a:extLst>
            <a:ext uri="{FF2B5EF4-FFF2-40B4-BE49-F238E27FC236}">
              <a16:creationId xmlns:a16="http://schemas.microsoft.com/office/drawing/2014/main" id="{30C3EF17-118B-41C0-AB94-A343D5BEAC6D}"/>
            </a:ext>
          </a:extLst>
        </xdr:cNvPr>
        <xdr:cNvSpPr>
          <a:spLocks noChangeAspect="1" noChangeArrowheads="1"/>
        </xdr:cNvSpPr>
      </xdr:nvSpPr>
      <xdr:spPr bwMode="auto">
        <a:xfrm>
          <a:off x="12003852" y="11495852"/>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55</xdr:row>
      <xdr:rowOff>0</xdr:rowOff>
    </xdr:from>
    <xdr:ext cx="294426" cy="316177"/>
    <xdr:sp macro="" textlink="">
      <xdr:nvSpPr>
        <xdr:cNvPr id="259" name="AutoShape 4" descr="asian paints colour ideas - TikTok Shop">
          <a:extLst>
            <a:ext uri="{FF2B5EF4-FFF2-40B4-BE49-F238E27FC236}">
              <a16:creationId xmlns:a16="http://schemas.microsoft.com/office/drawing/2014/main" id="{C2FD6565-B8BD-430E-968E-45EA5AC436FF}"/>
            </a:ext>
          </a:extLst>
        </xdr:cNvPr>
        <xdr:cNvSpPr>
          <a:spLocks noChangeAspect="1" noChangeArrowheads="1"/>
        </xdr:cNvSpPr>
      </xdr:nvSpPr>
      <xdr:spPr bwMode="auto">
        <a:xfrm>
          <a:off x="12003852" y="11495852"/>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55</xdr:row>
      <xdr:rowOff>0</xdr:rowOff>
    </xdr:from>
    <xdr:ext cx="294426" cy="311400"/>
    <xdr:sp macro="" textlink="">
      <xdr:nvSpPr>
        <xdr:cNvPr id="260" name="AutoShape 2" descr="asian paints colour ideas - TikTok Shop">
          <a:extLst>
            <a:ext uri="{FF2B5EF4-FFF2-40B4-BE49-F238E27FC236}">
              <a16:creationId xmlns:a16="http://schemas.microsoft.com/office/drawing/2014/main" id="{69E4B384-20AA-4735-BE5A-490A0744FCD2}"/>
            </a:ext>
          </a:extLst>
        </xdr:cNvPr>
        <xdr:cNvSpPr>
          <a:spLocks noChangeAspect="1" noChangeArrowheads="1"/>
        </xdr:cNvSpPr>
      </xdr:nvSpPr>
      <xdr:spPr bwMode="auto">
        <a:xfrm>
          <a:off x="12003852" y="11495852"/>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55</xdr:row>
      <xdr:rowOff>0</xdr:rowOff>
    </xdr:from>
    <xdr:ext cx="294426" cy="311400"/>
    <xdr:sp macro="" textlink="">
      <xdr:nvSpPr>
        <xdr:cNvPr id="261" name="AutoShape 3" descr="asian paints colour ideas - TikTok Shop">
          <a:extLst>
            <a:ext uri="{FF2B5EF4-FFF2-40B4-BE49-F238E27FC236}">
              <a16:creationId xmlns:a16="http://schemas.microsoft.com/office/drawing/2014/main" id="{5D212439-9187-4D48-8FA3-26AAB8A25D55}"/>
            </a:ext>
          </a:extLst>
        </xdr:cNvPr>
        <xdr:cNvSpPr>
          <a:spLocks noChangeAspect="1" noChangeArrowheads="1"/>
        </xdr:cNvSpPr>
      </xdr:nvSpPr>
      <xdr:spPr bwMode="auto">
        <a:xfrm>
          <a:off x="12003852" y="11495852"/>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55</xdr:row>
      <xdr:rowOff>0</xdr:rowOff>
    </xdr:from>
    <xdr:ext cx="294426" cy="311400"/>
    <xdr:sp macro="" textlink="">
      <xdr:nvSpPr>
        <xdr:cNvPr id="262" name="AutoShape 4" descr="asian paints colour ideas - TikTok Shop">
          <a:extLst>
            <a:ext uri="{FF2B5EF4-FFF2-40B4-BE49-F238E27FC236}">
              <a16:creationId xmlns:a16="http://schemas.microsoft.com/office/drawing/2014/main" id="{7C37C87D-C0C6-4306-B4DA-17D4135DD22A}"/>
            </a:ext>
          </a:extLst>
        </xdr:cNvPr>
        <xdr:cNvSpPr>
          <a:spLocks noChangeAspect="1" noChangeArrowheads="1"/>
        </xdr:cNvSpPr>
      </xdr:nvSpPr>
      <xdr:spPr bwMode="auto">
        <a:xfrm>
          <a:off x="12003852" y="11495852"/>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55</xdr:row>
      <xdr:rowOff>0</xdr:rowOff>
    </xdr:from>
    <xdr:ext cx="294426" cy="312020"/>
    <xdr:sp macro="" textlink="">
      <xdr:nvSpPr>
        <xdr:cNvPr id="263" name="AutoShape 2" descr="asian paints colour ideas - TikTok Shop">
          <a:extLst>
            <a:ext uri="{FF2B5EF4-FFF2-40B4-BE49-F238E27FC236}">
              <a16:creationId xmlns:a16="http://schemas.microsoft.com/office/drawing/2014/main" id="{3010E7BE-FA9B-4D32-A0F1-5E206379A85C}"/>
            </a:ext>
          </a:extLst>
        </xdr:cNvPr>
        <xdr:cNvSpPr>
          <a:spLocks noChangeAspect="1" noChangeArrowheads="1"/>
        </xdr:cNvSpPr>
      </xdr:nvSpPr>
      <xdr:spPr bwMode="auto">
        <a:xfrm>
          <a:off x="12003852" y="11495852"/>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55</xdr:row>
      <xdr:rowOff>0</xdr:rowOff>
    </xdr:from>
    <xdr:ext cx="294426" cy="312020"/>
    <xdr:sp macro="" textlink="">
      <xdr:nvSpPr>
        <xdr:cNvPr id="264" name="AutoShape 3" descr="asian paints colour ideas - TikTok Shop">
          <a:extLst>
            <a:ext uri="{FF2B5EF4-FFF2-40B4-BE49-F238E27FC236}">
              <a16:creationId xmlns:a16="http://schemas.microsoft.com/office/drawing/2014/main" id="{C54A893E-07B0-4500-8F7D-9EA7454B9A1C}"/>
            </a:ext>
          </a:extLst>
        </xdr:cNvPr>
        <xdr:cNvSpPr>
          <a:spLocks noChangeAspect="1" noChangeArrowheads="1"/>
        </xdr:cNvSpPr>
      </xdr:nvSpPr>
      <xdr:spPr bwMode="auto">
        <a:xfrm>
          <a:off x="12003852" y="11495852"/>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29</xdr:col>
      <xdr:colOff>0</xdr:colOff>
      <xdr:row>28</xdr:row>
      <xdr:rowOff>0</xdr:rowOff>
    </xdr:from>
    <xdr:ext cx="294426" cy="312987"/>
    <xdr:sp macro="" textlink="">
      <xdr:nvSpPr>
        <xdr:cNvPr id="19" name="AutoShape 2" descr="asian paints colour ideas - TikTok Shop">
          <a:extLst>
            <a:ext uri="{FF2B5EF4-FFF2-40B4-BE49-F238E27FC236}">
              <a16:creationId xmlns:a16="http://schemas.microsoft.com/office/drawing/2014/main" id="{B0C69B79-56B4-4CD0-9F69-42D41D2890DC}"/>
            </a:ext>
          </a:extLst>
        </xdr:cNvPr>
        <xdr:cNvSpPr>
          <a:spLocks noChangeAspect="1" noChangeArrowheads="1"/>
        </xdr:cNvSpPr>
      </xdr:nvSpPr>
      <xdr:spPr bwMode="auto">
        <a:xfrm>
          <a:off x="6923314" y="6368143"/>
          <a:ext cx="294426" cy="3129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29</xdr:col>
      <xdr:colOff>0</xdr:colOff>
      <xdr:row>28</xdr:row>
      <xdr:rowOff>0</xdr:rowOff>
    </xdr:from>
    <xdr:ext cx="294426" cy="312987"/>
    <xdr:sp macro="" textlink="">
      <xdr:nvSpPr>
        <xdr:cNvPr id="20" name="AutoShape 3" descr="asian paints colour ideas - TikTok Shop">
          <a:extLst>
            <a:ext uri="{FF2B5EF4-FFF2-40B4-BE49-F238E27FC236}">
              <a16:creationId xmlns:a16="http://schemas.microsoft.com/office/drawing/2014/main" id="{359703A9-4EBF-4B44-83F2-A8B865E61334}"/>
            </a:ext>
          </a:extLst>
        </xdr:cNvPr>
        <xdr:cNvSpPr>
          <a:spLocks noChangeAspect="1" noChangeArrowheads="1"/>
        </xdr:cNvSpPr>
      </xdr:nvSpPr>
      <xdr:spPr bwMode="auto">
        <a:xfrm>
          <a:off x="6923314" y="6368143"/>
          <a:ext cx="294426" cy="3129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29</xdr:col>
      <xdr:colOff>0</xdr:colOff>
      <xdr:row>28</xdr:row>
      <xdr:rowOff>0</xdr:rowOff>
    </xdr:from>
    <xdr:ext cx="294426" cy="312987"/>
    <xdr:sp macro="" textlink="">
      <xdr:nvSpPr>
        <xdr:cNvPr id="21" name="AutoShape 4" descr="asian paints colour ideas - TikTok Shop">
          <a:extLst>
            <a:ext uri="{FF2B5EF4-FFF2-40B4-BE49-F238E27FC236}">
              <a16:creationId xmlns:a16="http://schemas.microsoft.com/office/drawing/2014/main" id="{706CF228-BD92-46C7-BEB0-542601F4DFE4}"/>
            </a:ext>
          </a:extLst>
        </xdr:cNvPr>
        <xdr:cNvSpPr>
          <a:spLocks noChangeAspect="1" noChangeArrowheads="1"/>
        </xdr:cNvSpPr>
      </xdr:nvSpPr>
      <xdr:spPr bwMode="auto">
        <a:xfrm>
          <a:off x="6923314" y="6368143"/>
          <a:ext cx="294426" cy="3129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29</xdr:col>
      <xdr:colOff>0</xdr:colOff>
      <xdr:row>32</xdr:row>
      <xdr:rowOff>0</xdr:rowOff>
    </xdr:from>
    <xdr:ext cx="298630" cy="310746"/>
    <xdr:sp macro="" textlink="">
      <xdr:nvSpPr>
        <xdr:cNvPr id="28" name="AutoShape 2" descr="asian paints colour ideas - TikTok Shop">
          <a:extLst>
            <a:ext uri="{FF2B5EF4-FFF2-40B4-BE49-F238E27FC236}">
              <a16:creationId xmlns:a16="http://schemas.microsoft.com/office/drawing/2014/main" id="{06BAC9F2-FA60-4B5B-A3CF-7C0928F3EDCD}"/>
            </a:ext>
          </a:extLst>
        </xdr:cNvPr>
        <xdr:cNvSpPr>
          <a:spLocks noChangeAspect="1" noChangeArrowheads="1"/>
        </xdr:cNvSpPr>
      </xdr:nvSpPr>
      <xdr:spPr bwMode="auto">
        <a:xfrm>
          <a:off x="6923314" y="7293429"/>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29</xdr:col>
      <xdr:colOff>0</xdr:colOff>
      <xdr:row>32</xdr:row>
      <xdr:rowOff>0</xdr:rowOff>
    </xdr:from>
    <xdr:ext cx="298630" cy="310746"/>
    <xdr:sp macro="" textlink="">
      <xdr:nvSpPr>
        <xdr:cNvPr id="29" name="AutoShape 3" descr="asian paints colour ideas - TikTok Shop">
          <a:extLst>
            <a:ext uri="{FF2B5EF4-FFF2-40B4-BE49-F238E27FC236}">
              <a16:creationId xmlns:a16="http://schemas.microsoft.com/office/drawing/2014/main" id="{CC2A550D-1A47-4CE2-9F3D-3ACB7514A103}"/>
            </a:ext>
          </a:extLst>
        </xdr:cNvPr>
        <xdr:cNvSpPr>
          <a:spLocks noChangeAspect="1" noChangeArrowheads="1"/>
        </xdr:cNvSpPr>
      </xdr:nvSpPr>
      <xdr:spPr bwMode="auto">
        <a:xfrm>
          <a:off x="6923314" y="7293429"/>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29</xdr:col>
      <xdr:colOff>0</xdr:colOff>
      <xdr:row>32</xdr:row>
      <xdr:rowOff>0</xdr:rowOff>
    </xdr:from>
    <xdr:ext cx="298630" cy="310746"/>
    <xdr:sp macro="" textlink="">
      <xdr:nvSpPr>
        <xdr:cNvPr id="30" name="AutoShape 4" descr="asian paints colour ideas - TikTok Shop">
          <a:extLst>
            <a:ext uri="{FF2B5EF4-FFF2-40B4-BE49-F238E27FC236}">
              <a16:creationId xmlns:a16="http://schemas.microsoft.com/office/drawing/2014/main" id="{EBC77897-BABE-48DE-96A4-977F7BB58F9F}"/>
            </a:ext>
          </a:extLst>
        </xdr:cNvPr>
        <xdr:cNvSpPr>
          <a:spLocks noChangeAspect="1" noChangeArrowheads="1"/>
        </xdr:cNvSpPr>
      </xdr:nvSpPr>
      <xdr:spPr bwMode="auto">
        <a:xfrm>
          <a:off x="6923314" y="7293429"/>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29</xdr:col>
      <xdr:colOff>0</xdr:colOff>
      <xdr:row>28</xdr:row>
      <xdr:rowOff>0</xdr:rowOff>
    </xdr:from>
    <xdr:ext cx="294426" cy="311400"/>
    <xdr:sp macro="" textlink="">
      <xdr:nvSpPr>
        <xdr:cNvPr id="34" name="AutoShape 2" descr="asian paints colour ideas - TikTok Shop">
          <a:extLst>
            <a:ext uri="{FF2B5EF4-FFF2-40B4-BE49-F238E27FC236}">
              <a16:creationId xmlns:a16="http://schemas.microsoft.com/office/drawing/2014/main" id="{C21019D1-1604-4BD3-B5AB-100694185767}"/>
            </a:ext>
          </a:extLst>
        </xdr:cNvPr>
        <xdr:cNvSpPr>
          <a:spLocks noChangeAspect="1" noChangeArrowheads="1"/>
        </xdr:cNvSpPr>
      </xdr:nvSpPr>
      <xdr:spPr bwMode="auto">
        <a:xfrm>
          <a:off x="6923314" y="6368143"/>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29</xdr:col>
      <xdr:colOff>0</xdr:colOff>
      <xdr:row>28</xdr:row>
      <xdr:rowOff>0</xdr:rowOff>
    </xdr:from>
    <xdr:ext cx="294426" cy="311400"/>
    <xdr:sp macro="" textlink="">
      <xdr:nvSpPr>
        <xdr:cNvPr id="35" name="AutoShape 3" descr="asian paints colour ideas - TikTok Shop">
          <a:extLst>
            <a:ext uri="{FF2B5EF4-FFF2-40B4-BE49-F238E27FC236}">
              <a16:creationId xmlns:a16="http://schemas.microsoft.com/office/drawing/2014/main" id="{036B7AD9-CE12-45F0-A0FE-CDB2C3AFD450}"/>
            </a:ext>
          </a:extLst>
        </xdr:cNvPr>
        <xdr:cNvSpPr>
          <a:spLocks noChangeAspect="1" noChangeArrowheads="1"/>
        </xdr:cNvSpPr>
      </xdr:nvSpPr>
      <xdr:spPr bwMode="auto">
        <a:xfrm>
          <a:off x="6923314" y="6368143"/>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29</xdr:col>
      <xdr:colOff>0</xdr:colOff>
      <xdr:row>28</xdr:row>
      <xdr:rowOff>0</xdr:rowOff>
    </xdr:from>
    <xdr:ext cx="294426" cy="311400"/>
    <xdr:sp macro="" textlink="">
      <xdr:nvSpPr>
        <xdr:cNvPr id="36" name="AutoShape 4" descr="asian paints colour ideas - TikTok Shop">
          <a:extLst>
            <a:ext uri="{FF2B5EF4-FFF2-40B4-BE49-F238E27FC236}">
              <a16:creationId xmlns:a16="http://schemas.microsoft.com/office/drawing/2014/main" id="{9533BDA1-0289-4FB0-8DBA-7FC56726C232}"/>
            </a:ext>
          </a:extLst>
        </xdr:cNvPr>
        <xdr:cNvSpPr>
          <a:spLocks noChangeAspect="1" noChangeArrowheads="1"/>
        </xdr:cNvSpPr>
      </xdr:nvSpPr>
      <xdr:spPr bwMode="auto">
        <a:xfrm>
          <a:off x="6923314" y="6368143"/>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29</xdr:col>
      <xdr:colOff>0</xdr:colOff>
      <xdr:row>32</xdr:row>
      <xdr:rowOff>0</xdr:rowOff>
    </xdr:from>
    <xdr:ext cx="294426" cy="311400"/>
    <xdr:sp macro="" textlink="">
      <xdr:nvSpPr>
        <xdr:cNvPr id="51" name="AutoShape 2" descr="asian paints colour ideas - TikTok Shop">
          <a:extLst>
            <a:ext uri="{FF2B5EF4-FFF2-40B4-BE49-F238E27FC236}">
              <a16:creationId xmlns:a16="http://schemas.microsoft.com/office/drawing/2014/main" id="{684527A7-92B1-400F-8E0C-7E58F415C2AB}"/>
            </a:ext>
          </a:extLst>
        </xdr:cNvPr>
        <xdr:cNvSpPr>
          <a:spLocks noChangeAspect="1" noChangeArrowheads="1"/>
        </xdr:cNvSpPr>
      </xdr:nvSpPr>
      <xdr:spPr bwMode="auto">
        <a:xfrm>
          <a:off x="6923314" y="7293429"/>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29</xdr:col>
      <xdr:colOff>0</xdr:colOff>
      <xdr:row>32</xdr:row>
      <xdr:rowOff>0</xdr:rowOff>
    </xdr:from>
    <xdr:ext cx="294426" cy="311400"/>
    <xdr:sp macro="" textlink="">
      <xdr:nvSpPr>
        <xdr:cNvPr id="52" name="AutoShape 3" descr="asian paints colour ideas - TikTok Shop">
          <a:extLst>
            <a:ext uri="{FF2B5EF4-FFF2-40B4-BE49-F238E27FC236}">
              <a16:creationId xmlns:a16="http://schemas.microsoft.com/office/drawing/2014/main" id="{D0AB3D0D-379B-44C6-B482-062A93C0EF14}"/>
            </a:ext>
          </a:extLst>
        </xdr:cNvPr>
        <xdr:cNvSpPr>
          <a:spLocks noChangeAspect="1" noChangeArrowheads="1"/>
        </xdr:cNvSpPr>
      </xdr:nvSpPr>
      <xdr:spPr bwMode="auto">
        <a:xfrm>
          <a:off x="6923314" y="7293429"/>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29</xdr:col>
      <xdr:colOff>0</xdr:colOff>
      <xdr:row>32</xdr:row>
      <xdr:rowOff>0</xdr:rowOff>
    </xdr:from>
    <xdr:ext cx="294426" cy="311400"/>
    <xdr:sp macro="" textlink="">
      <xdr:nvSpPr>
        <xdr:cNvPr id="53" name="AutoShape 4" descr="asian paints colour ideas - TikTok Shop">
          <a:extLst>
            <a:ext uri="{FF2B5EF4-FFF2-40B4-BE49-F238E27FC236}">
              <a16:creationId xmlns:a16="http://schemas.microsoft.com/office/drawing/2014/main" id="{CC670E1B-3A3C-407C-ACFD-7A5615AE431C}"/>
            </a:ext>
          </a:extLst>
        </xdr:cNvPr>
        <xdr:cNvSpPr>
          <a:spLocks noChangeAspect="1" noChangeArrowheads="1"/>
        </xdr:cNvSpPr>
      </xdr:nvSpPr>
      <xdr:spPr bwMode="auto">
        <a:xfrm>
          <a:off x="6923314" y="7293429"/>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29</xdr:col>
      <xdr:colOff>0</xdr:colOff>
      <xdr:row>32</xdr:row>
      <xdr:rowOff>0</xdr:rowOff>
    </xdr:from>
    <xdr:ext cx="294426" cy="311400"/>
    <xdr:sp macro="" textlink="">
      <xdr:nvSpPr>
        <xdr:cNvPr id="54" name="AutoShape 2" descr="asian paints colour ideas - TikTok Shop">
          <a:extLst>
            <a:ext uri="{FF2B5EF4-FFF2-40B4-BE49-F238E27FC236}">
              <a16:creationId xmlns:a16="http://schemas.microsoft.com/office/drawing/2014/main" id="{D4F29DE6-EBC4-4580-B973-4C472D88C6EE}"/>
            </a:ext>
          </a:extLst>
        </xdr:cNvPr>
        <xdr:cNvSpPr>
          <a:spLocks noChangeAspect="1" noChangeArrowheads="1"/>
        </xdr:cNvSpPr>
      </xdr:nvSpPr>
      <xdr:spPr bwMode="auto">
        <a:xfrm>
          <a:off x="6923314" y="7293429"/>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29</xdr:col>
      <xdr:colOff>0</xdr:colOff>
      <xdr:row>32</xdr:row>
      <xdr:rowOff>0</xdr:rowOff>
    </xdr:from>
    <xdr:ext cx="294426" cy="311400"/>
    <xdr:sp macro="" textlink="">
      <xdr:nvSpPr>
        <xdr:cNvPr id="78" name="AutoShape 3" descr="asian paints colour ideas - TikTok Shop">
          <a:extLst>
            <a:ext uri="{FF2B5EF4-FFF2-40B4-BE49-F238E27FC236}">
              <a16:creationId xmlns:a16="http://schemas.microsoft.com/office/drawing/2014/main" id="{5ABF70F7-2B80-47D6-9F1D-EFB5C2663357}"/>
            </a:ext>
          </a:extLst>
        </xdr:cNvPr>
        <xdr:cNvSpPr>
          <a:spLocks noChangeAspect="1" noChangeArrowheads="1"/>
        </xdr:cNvSpPr>
      </xdr:nvSpPr>
      <xdr:spPr bwMode="auto">
        <a:xfrm>
          <a:off x="6923314" y="7293429"/>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29</xdr:col>
      <xdr:colOff>0</xdr:colOff>
      <xdr:row>32</xdr:row>
      <xdr:rowOff>0</xdr:rowOff>
    </xdr:from>
    <xdr:ext cx="294426" cy="311400"/>
    <xdr:sp macro="" textlink="">
      <xdr:nvSpPr>
        <xdr:cNvPr id="111" name="AutoShape 4" descr="asian paints colour ideas - TikTok Shop">
          <a:extLst>
            <a:ext uri="{FF2B5EF4-FFF2-40B4-BE49-F238E27FC236}">
              <a16:creationId xmlns:a16="http://schemas.microsoft.com/office/drawing/2014/main" id="{6690A2FB-F598-4664-8D82-5147C426F30F}"/>
            </a:ext>
          </a:extLst>
        </xdr:cNvPr>
        <xdr:cNvSpPr>
          <a:spLocks noChangeAspect="1" noChangeArrowheads="1"/>
        </xdr:cNvSpPr>
      </xdr:nvSpPr>
      <xdr:spPr bwMode="auto">
        <a:xfrm>
          <a:off x="6923314" y="7293429"/>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23</xdr:row>
      <xdr:rowOff>0</xdr:rowOff>
    </xdr:from>
    <xdr:ext cx="294426" cy="316177"/>
    <xdr:sp macro="" textlink="">
      <xdr:nvSpPr>
        <xdr:cNvPr id="265" name="AutoShape 2" descr="asian paints colour ideas - TikTok Shop">
          <a:extLst>
            <a:ext uri="{FF2B5EF4-FFF2-40B4-BE49-F238E27FC236}">
              <a16:creationId xmlns:a16="http://schemas.microsoft.com/office/drawing/2014/main" id="{D832830D-2084-48CD-B347-1EFB864C3EC1}"/>
            </a:ext>
          </a:extLst>
        </xdr:cNvPr>
        <xdr:cNvSpPr>
          <a:spLocks noChangeAspect="1" noChangeArrowheads="1"/>
        </xdr:cNvSpPr>
      </xdr:nvSpPr>
      <xdr:spPr bwMode="auto">
        <a:xfrm>
          <a:off x="206829" y="5170714"/>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23</xdr:row>
      <xdr:rowOff>0</xdr:rowOff>
    </xdr:from>
    <xdr:ext cx="294426" cy="316177"/>
    <xdr:sp macro="" textlink="">
      <xdr:nvSpPr>
        <xdr:cNvPr id="266" name="AutoShape 3" descr="asian paints colour ideas - TikTok Shop">
          <a:extLst>
            <a:ext uri="{FF2B5EF4-FFF2-40B4-BE49-F238E27FC236}">
              <a16:creationId xmlns:a16="http://schemas.microsoft.com/office/drawing/2014/main" id="{B52069DE-9AE6-4CB1-A1EF-C39ADBBB6951}"/>
            </a:ext>
          </a:extLst>
        </xdr:cNvPr>
        <xdr:cNvSpPr>
          <a:spLocks noChangeAspect="1" noChangeArrowheads="1"/>
        </xdr:cNvSpPr>
      </xdr:nvSpPr>
      <xdr:spPr bwMode="auto">
        <a:xfrm>
          <a:off x="206829" y="5170714"/>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23</xdr:row>
      <xdr:rowOff>0</xdr:rowOff>
    </xdr:from>
    <xdr:ext cx="294426" cy="316177"/>
    <xdr:sp macro="" textlink="">
      <xdr:nvSpPr>
        <xdr:cNvPr id="267" name="AutoShape 4" descr="asian paints colour ideas - TikTok Shop">
          <a:extLst>
            <a:ext uri="{FF2B5EF4-FFF2-40B4-BE49-F238E27FC236}">
              <a16:creationId xmlns:a16="http://schemas.microsoft.com/office/drawing/2014/main" id="{C3ED4481-2EE7-4A45-921C-B6C49C58465E}"/>
            </a:ext>
          </a:extLst>
        </xdr:cNvPr>
        <xdr:cNvSpPr>
          <a:spLocks noChangeAspect="1" noChangeArrowheads="1"/>
        </xdr:cNvSpPr>
      </xdr:nvSpPr>
      <xdr:spPr bwMode="auto">
        <a:xfrm>
          <a:off x="206829" y="5170714"/>
          <a:ext cx="294426" cy="31617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28</xdr:row>
      <xdr:rowOff>0</xdr:rowOff>
    </xdr:from>
    <xdr:ext cx="298630" cy="310746"/>
    <xdr:sp macro="" textlink="">
      <xdr:nvSpPr>
        <xdr:cNvPr id="268" name="AutoShape 2" descr="asian paints colour ideas - TikTok Shop">
          <a:extLst>
            <a:ext uri="{FF2B5EF4-FFF2-40B4-BE49-F238E27FC236}">
              <a16:creationId xmlns:a16="http://schemas.microsoft.com/office/drawing/2014/main" id="{5BAD8960-824B-4AD1-A20A-908F0FA0F06F}"/>
            </a:ext>
          </a:extLst>
        </xdr:cNvPr>
        <xdr:cNvSpPr>
          <a:spLocks noChangeAspect="1" noChangeArrowheads="1"/>
        </xdr:cNvSpPr>
      </xdr:nvSpPr>
      <xdr:spPr bwMode="auto">
        <a:xfrm>
          <a:off x="206829" y="6368143"/>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28</xdr:row>
      <xdr:rowOff>0</xdr:rowOff>
    </xdr:from>
    <xdr:ext cx="298630" cy="310746"/>
    <xdr:sp macro="" textlink="">
      <xdr:nvSpPr>
        <xdr:cNvPr id="269" name="AutoShape 3" descr="asian paints colour ideas - TikTok Shop">
          <a:extLst>
            <a:ext uri="{FF2B5EF4-FFF2-40B4-BE49-F238E27FC236}">
              <a16:creationId xmlns:a16="http://schemas.microsoft.com/office/drawing/2014/main" id="{E2CBF7B6-266C-4E93-BF20-4B6176B1AAC2}"/>
            </a:ext>
          </a:extLst>
        </xdr:cNvPr>
        <xdr:cNvSpPr>
          <a:spLocks noChangeAspect="1" noChangeArrowheads="1"/>
        </xdr:cNvSpPr>
      </xdr:nvSpPr>
      <xdr:spPr bwMode="auto">
        <a:xfrm>
          <a:off x="206829" y="6368143"/>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28</xdr:row>
      <xdr:rowOff>0</xdr:rowOff>
    </xdr:from>
    <xdr:ext cx="298630" cy="310746"/>
    <xdr:sp macro="" textlink="">
      <xdr:nvSpPr>
        <xdr:cNvPr id="270" name="AutoShape 4" descr="asian paints colour ideas - TikTok Shop">
          <a:extLst>
            <a:ext uri="{FF2B5EF4-FFF2-40B4-BE49-F238E27FC236}">
              <a16:creationId xmlns:a16="http://schemas.microsoft.com/office/drawing/2014/main" id="{529CB1E6-23E0-4350-80AD-BE2CF41E991D}"/>
            </a:ext>
          </a:extLst>
        </xdr:cNvPr>
        <xdr:cNvSpPr>
          <a:spLocks noChangeAspect="1" noChangeArrowheads="1"/>
        </xdr:cNvSpPr>
      </xdr:nvSpPr>
      <xdr:spPr bwMode="auto">
        <a:xfrm>
          <a:off x="206829" y="6368143"/>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23</xdr:row>
      <xdr:rowOff>0</xdr:rowOff>
    </xdr:from>
    <xdr:ext cx="294426" cy="311400"/>
    <xdr:sp macro="" textlink="">
      <xdr:nvSpPr>
        <xdr:cNvPr id="271" name="AutoShape 2" descr="asian paints colour ideas - TikTok Shop">
          <a:extLst>
            <a:ext uri="{FF2B5EF4-FFF2-40B4-BE49-F238E27FC236}">
              <a16:creationId xmlns:a16="http://schemas.microsoft.com/office/drawing/2014/main" id="{4C90D4DE-8108-4362-B8A1-FCEDDA4C3F9E}"/>
            </a:ext>
          </a:extLst>
        </xdr:cNvPr>
        <xdr:cNvSpPr>
          <a:spLocks noChangeAspect="1" noChangeArrowheads="1"/>
        </xdr:cNvSpPr>
      </xdr:nvSpPr>
      <xdr:spPr bwMode="auto">
        <a:xfrm>
          <a:off x="206829" y="5170714"/>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23</xdr:row>
      <xdr:rowOff>0</xdr:rowOff>
    </xdr:from>
    <xdr:ext cx="294426" cy="311400"/>
    <xdr:sp macro="" textlink="">
      <xdr:nvSpPr>
        <xdr:cNvPr id="272" name="AutoShape 3" descr="asian paints colour ideas - TikTok Shop">
          <a:extLst>
            <a:ext uri="{FF2B5EF4-FFF2-40B4-BE49-F238E27FC236}">
              <a16:creationId xmlns:a16="http://schemas.microsoft.com/office/drawing/2014/main" id="{D941B2DF-58BE-4142-92C2-34A2E099DE90}"/>
            </a:ext>
          </a:extLst>
        </xdr:cNvPr>
        <xdr:cNvSpPr>
          <a:spLocks noChangeAspect="1" noChangeArrowheads="1"/>
        </xdr:cNvSpPr>
      </xdr:nvSpPr>
      <xdr:spPr bwMode="auto">
        <a:xfrm>
          <a:off x="206829" y="5170714"/>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23</xdr:row>
      <xdr:rowOff>0</xdr:rowOff>
    </xdr:from>
    <xdr:ext cx="294426" cy="311400"/>
    <xdr:sp macro="" textlink="">
      <xdr:nvSpPr>
        <xdr:cNvPr id="273" name="AutoShape 4" descr="asian paints colour ideas - TikTok Shop">
          <a:extLst>
            <a:ext uri="{FF2B5EF4-FFF2-40B4-BE49-F238E27FC236}">
              <a16:creationId xmlns:a16="http://schemas.microsoft.com/office/drawing/2014/main" id="{C3D4C683-B7F3-4684-A232-802A8B4010A8}"/>
            </a:ext>
          </a:extLst>
        </xdr:cNvPr>
        <xdr:cNvSpPr>
          <a:spLocks noChangeAspect="1" noChangeArrowheads="1"/>
        </xdr:cNvSpPr>
      </xdr:nvSpPr>
      <xdr:spPr bwMode="auto">
        <a:xfrm>
          <a:off x="206829" y="5170714"/>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28</xdr:row>
      <xdr:rowOff>0</xdr:rowOff>
    </xdr:from>
    <xdr:ext cx="294426" cy="311400"/>
    <xdr:sp macro="" textlink="">
      <xdr:nvSpPr>
        <xdr:cNvPr id="274" name="AutoShape 2" descr="asian paints colour ideas - TikTok Shop">
          <a:extLst>
            <a:ext uri="{FF2B5EF4-FFF2-40B4-BE49-F238E27FC236}">
              <a16:creationId xmlns:a16="http://schemas.microsoft.com/office/drawing/2014/main" id="{507F5D8D-8D82-4021-A782-AE77787EEBA2}"/>
            </a:ext>
          </a:extLst>
        </xdr:cNvPr>
        <xdr:cNvSpPr>
          <a:spLocks noChangeAspect="1" noChangeArrowheads="1"/>
        </xdr:cNvSpPr>
      </xdr:nvSpPr>
      <xdr:spPr bwMode="auto">
        <a:xfrm>
          <a:off x="206829" y="6368143"/>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28</xdr:row>
      <xdr:rowOff>0</xdr:rowOff>
    </xdr:from>
    <xdr:ext cx="294426" cy="311400"/>
    <xdr:sp macro="" textlink="">
      <xdr:nvSpPr>
        <xdr:cNvPr id="275" name="AutoShape 3" descr="asian paints colour ideas - TikTok Shop">
          <a:extLst>
            <a:ext uri="{FF2B5EF4-FFF2-40B4-BE49-F238E27FC236}">
              <a16:creationId xmlns:a16="http://schemas.microsoft.com/office/drawing/2014/main" id="{90A2DD57-65F5-4E33-B791-06A8492057A7}"/>
            </a:ext>
          </a:extLst>
        </xdr:cNvPr>
        <xdr:cNvSpPr>
          <a:spLocks noChangeAspect="1" noChangeArrowheads="1"/>
        </xdr:cNvSpPr>
      </xdr:nvSpPr>
      <xdr:spPr bwMode="auto">
        <a:xfrm>
          <a:off x="206829" y="6368143"/>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28</xdr:row>
      <xdr:rowOff>0</xdr:rowOff>
    </xdr:from>
    <xdr:ext cx="294426" cy="311400"/>
    <xdr:sp macro="" textlink="">
      <xdr:nvSpPr>
        <xdr:cNvPr id="276" name="AutoShape 4" descr="asian paints colour ideas - TikTok Shop">
          <a:extLst>
            <a:ext uri="{FF2B5EF4-FFF2-40B4-BE49-F238E27FC236}">
              <a16:creationId xmlns:a16="http://schemas.microsoft.com/office/drawing/2014/main" id="{E19A031A-D96B-4422-9E73-0422085A589A}"/>
            </a:ext>
          </a:extLst>
        </xdr:cNvPr>
        <xdr:cNvSpPr>
          <a:spLocks noChangeAspect="1" noChangeArrowheads="1"/>
        </xdr:cNvSpPr>
      </xdr:nvSpPr>
      <xdr:spPr bwMode="auto">
        <a:xfrm>
          <a:off x="206829" y="6368143"/>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28</xdr:row>
      <xdr:rowOff>0</xdr:rowOff>
    </xdr:from>
    <xdr:ext cx="294426" cy="311400"/>
    <xdr:sp macro="" textlink="">
      <xdr:nvSpPr>
        <xdr:cNvPr id="277" name="AutoShape 2" descr="asian paints colour ideas - TikTok Shop">
          <a:extLst>
            <a:ext uri="{FF2B5EF4-FFF2-40B4-BE49-F238E27FC236}">
              <a16:creationId xmlns:a16="http://schemas.microsoft.com/office/drawing/2014/main" id="{7005F14E-7A4F-44F9-A975-376D12DA7642}"/>
            </a:ext>
          </a:extLst>
        </xdr:cNvPr>
        <xdr:cNvSpPr>
          <a:spLocks noChangeAspect="1" noChangeArrowheads="1"/>
        </xdr:cNvSpPr>
      </xdr:nvSpPr>
      <xdr:spPr bwMode="auto">
        <a:xfrm>
          <a:off x="206829" y="6368143"/>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28</xdr:row>
      <xdr:rowOff>0</xdr:rowOff>
    </xdr:from>
    <xdr:ext cx="294426" cy="311400"/>
    <xdr:sp macro="" textlink="">
      <xdr:nvSpPr>
        <xdr:cNvPr id="278" name="AutoShape 3" descr="asian paints colour ideas - TikTok Shop">
          <a:extLst>
            <a:ext uri="{FF2B5EF4-FFF2-40B4-BE49-F238E27FC236}">
              <a16:creationId xmlns:a16="http://schemas.microsoft.com/office/drawing/2014/main" id="{DDC7AD14-EFDB-42AC-B1FE-EA9EBF557FEB}"/>
            </a:ext>
          </a:extLst>
        </xdr:cNvPr>
        <xdr:cNvSpPr>
          <a:spLocks noChangeAspect="1" noChangeArrowheads="1"/>
        </xdr:cNvSpPr>
      </xdr:nvSpPr>
      <xdr:spPr bwMode="auto">
        <a:xfrm>
          <a:off x="206829" y="6368143"/>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28</xdr:row>
      <xdr:rowOff>0</xdr:rowOff>
    </xdr:from>
    <xdr:ext cx="294426" cy="311400"/>
    <xdr:sp macro="" textlink="">
      <xdr:nvSpPr>
        <xdr:cNvPr id="279" name="AutoShape 4" descr="asian paints colour ideas - TikTok Shop">
          <a:extLst>
            <a:ext uri="{FF2B5EF4-FFF2-40B4-BE49-F238E27FC236}">
              <a16:creationId xmlns:a16="http://schemas.microsoft.com/office/drawing/2014/main" id="{DA4FD7CB-6BFD-448E-B836-B16738D72945}"/>
            </a:ext>
          </a:extLst>
        </xdr:cNvPr>
        <xdr:cNvSpPr>
          <a:spLocks noChangeAspect="1" noChangeArrowheads="1"/>
        </xdr:cNvSpPr>
      </xdr:nvSpPr>
      <xdr:spPr bwMode="auto">
        <a:xfrm>
          <a:off x="206829" y="6368143"/>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23</xdr:row>
      <xdr:rowOff>0</xdr:rowOff>
    </xdr:from>
    <xdr:ext cx="294426" cy="312020"/>
    <xdr:sp macro="" textlink="">
      <xdr:nvSpPr>
        <xdr:cNvPr id="280" name="AutoShape 2" descr="asian paints colour ideas - TikTok Shop">
          <a:extLst>
            <a:ext uri="{FF2B5EF4-FFF2-40B4-BE49-F238E27FC236}">
              <a16:creationId xmlns:a16="http://schemas.microsoft.com/office/drawing/2014/main" id="{5807503A-67BB-4247-A752-2010664C03D0}"/>
            </a:ext>
          </a:extLst>
        </xdr:cNvPr>
        <xdr:cNvSpPr>
          <a:spLocks noChangeAspect="1" noChangeArrowheads="1"/>
        </xdr:cNvSpPr>
      </xdr:nvSpPr>
      <xdr:spPr bwMode="auto">
        <a:xfrm>
          <a:off x="206829" y="5170714"/>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23</xdr:row>
      <xdr:rowOff>0</xdr:rowOff>
    </xdr:from>
    <xdr:ext cx="294426" cy="312020"/>
    <xdr:sp macro="" textlink="">
      <xdr:nvSpPr>
        <xdr:cNvPr id="281" name="AutoShape 3" descr="asian paints colour ideas - TikTok Shop">
          <a:extLst>
            <a:ext uri="{FF2B5EF4-FFF2-40B4-BE49-F238E27FC236}">
              <a16:creationId xmlns:a16="http://schemas.microsoft.com/office/drawing/2014/main" id="{2076081A-8862-4464-A55A-CAB343420E67}"/>
            </a:ext>
          </a:extLst>
        </xdr:cNvPr>
        <xdr:cNvSpPr>
          <a:spLocks noChangeAspect="1" noChangeArrowheads="1"/>
        </xdr:cNvSpPr>
      </xdr:nvSpPr>
      <xdr:spPr bwMode="auto">
        <a:xfrm>
          <a:off x="206829" y="5170714"/>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23</xdr:row>
      <xdr:rowOff>0</xdr:rowOff>
    </xdr:from>
    <xdr:ext cx="294426" cy="312020"/>
    <xdr:sp macro="" textlink="">
      <xdr:nvSpPr>
        <xdr:cNvPr id="282" name="AutoShape 4" descr="asian paints colour ideas - TikTok Shop">
          <a:extLst>
            <a:ext uri="{FF2B5EF4-FFF2-40B4-BE49-F238E27FC236}">
              <a16:creationId xmlns:a16="http://schemas.microsoft.com/office/drawing/2014/main" id="{F6B59F92-9A65-4531-A2AA-D13C03117BF2}"/>
            </a:ext>
          </a:extLst>
        </xdr:cNvPr>
        <xdr:cNvSpPr>
          <a:spLocks noChangeAspect="1" noChangeArrowheads="1"/>
        </xdr:cNvSpPr>
      </xdr:nvSpPr>
      <xdr:spPr bwMode="auto">
        <a:xfrm>
          <a:off x="206829" y="5170714"/>
          <a:ext cx="294426" cy="31202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28</xdr:row>
      <xdr:rowOff>0</xdr:rowOff>
    </xdr:from>
    <xdr:ext cx="298630" cy="310746"/>
    <xdr:sp macro="" textlink="">
      <xdr:nvSpPr>
        <xdr:cNvPr id="283" name="AutoShape 2" descr="asian paints colour ideas - TikTok Shop">
          <a:extLst>
            <a:ext uri="{FF2B5EF4-FFF2-40B4-BE49-F238E27FC236}">
              <a16:creationId xmlns:a16="http://schemas.microsoft.com/office/drawing/2014/main" id="{67707CC0-2A43-4B22-A575-99AB87870F5A}"/>
            </a:ext>
          </a:extLst>
        </xdr:cNvPr>
        <xdr:cNvSpPr>
          <a:spLocks noChangeAspect="1" noChangeArrowheads="1"/>
        </xdr:cNvSpPr>
      </xdr:nvSpPr>
      <xdr:spPr bwMode="auto">
        <a:xfrm>
          <a:off x="206829" y="6368143"/>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28</xdr:row>
      <xdr:rowOff>0</xdr:rowOff>
    </xdr:from>
    <xdr:ext cx="298630" cy="310746"/>
    <xdr:sp macro="" textlink="">
      <xdr:nvSpPr>
        <xdr:cNvPr id="284" name="AutoShape 3" descr="asian paints colour ideas - TikTok Shop">
          <a:extLst>
            <a:ext uri="{FF2B5EF4-FFF2-40B4-BE49-F238E27FC236}">
              <a16:creationId xmlns:a16="http://schemas.microsoft.com/office/drawing/2014/main" id="{AA79BF44-6714-445A-B3F1-FE7444FFFD36}"/>
            </a:ext>
          </a:extLst>
        </xdr:cNvPr>
        <xdr:cNvSpPr>
          <a:spLocks noChangeAspect="1" noChangeArrowheads="1"/>
        </xdr:cNvSpPr>
      </xdr:nvSpPr>
      <xdr:spPr bwMode="auto">
        <a:xfrm>
          <a:off x="206829" y="6368143"/>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28</xdr:row>
      <xdr:rowOff>0</xdr:rowOff>
    </xdr:from>
    <xdr:ext cx="298630" cy="310746"/>
    <xdr:sp macro="" textlink="">
      <xdr:nvSpPr>
        <xdr:cNvPr id="285" name="AutoShape 4" descr="asian paints colour ideas - TikTok Shop">
          <a:extLst>
            <a:ext uri="{FF2B5EF4-FFF2-40B4-BE49-F238E27FC236}">
              <a16:creationId xmlns:a16="http://schemas.microsoft.com/office/drawing/2014/main" id="{FA02F0AA-7A0A-4F37-A9D7-34334D515B52}"/>
            </a:ext>
          </a:extLst>
        </xdr:cNvPr>
        <xdr:cNvSpPr>
          <a:spLocks noChangeAspect="1" noChangeArrowheads="1"/>
        </xdr:cNvSpPr>
      </xdr:nvSpPr>
      <xdr:spPr bwMode="auto">
        <a:xfrm>
          <a:off x="206829" y="6368143"/>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23</xdr:row>
      <xdr:rowOff>0</xdr:rowOff>
    </xdr:from>
    <xdr:ext cx="294426" cy="311400"/>
    <xdr:sp macro="" textlink="">
      <xdr:nvSpPr>
        <xdr:cNvPr id="286" name="AutoShape 2" descr="asian paints colour ideas - TikTok Shop">
          <a:extLst>
            <a:ext uri="{FF2B5EF4-FFF2-40B4-BE49-F238E27FC236}">
              <a16:creationId xmlns:a16="http://schemas.microsoft.com/office/drawing/2014/main" id="{B053C24D-875D-4157-AA40-237E6EB95D9A}"/>
            </a:ext>
          </a:extLst>
        </xdr:cNvPr>
        <xdr:cNvSpPr>
          <a:spLocks noChangeAspect="1" noChangeArrowheads="1"/>
        </xdr:cNvSpPr>
      </xdr:nvSpPr>
      <xdr:spPr bwMode="auto">
        <a:xfrm>
          <a:off x="206829" y="5170714"/>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23</xdr:row>
      <xdr:rowOff>0</xdr:rowOff>
    </xdr:from>
    <xdr:ext cx="294426" cy="311400"/>
    <xdr:sp macro="" textlink="">
      <xdr:nvSpPr>
        <xdr:cNvPr id="287" name="AutoShape 3" descr="asian paints colour ideas - TikTok Shop">
          <a:extLst>
            <a:ext uri="{FF2B5EF4-FFF2-40B4-BE49-F238E27FC236}">
              <a16:creationId xmlns:a16="http://schemas.microsoft.com/office/drawing/2014/main" id="{E5393F53-C670-4F0C-B67B-0434AF335B86}"/>
            </a:ext>
          </a:extLst>
        </xdr:cNvPr>
        <xdr:cNvSpPr>
          <a:spLocks noChangeAspect="1" noChangeArrowheads="1"/>
        </xdr:cNvSpPr>
      </xdr:nvSpPr>
      <xdr:spPr bwMode="auto">
        <a:xfrm>
          <a:off x="206829" y="5170714"/>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23</xdr:row>
      <xdr:rowOff>0</xdr:rowOff>
    </xdr:from>
    <xdr:ext cx="294426" cy="311400"/>
    <xdr:sp macro="" textlink="">
      <xdr:nvSpPr>
        <xdr:cNvPr id="288" name="AutoShape 4" descr="asian paints colour ideas - TikTok Shop">
          <a:extLst>
            <a:ext uri="{FF2B5EF4-FFF2-40B4-BE49-F238E27FC236}">
              <a16:creationId xmlns:a16="http://schemas.microsoft.com/office/drawing/2014/main" id="{540957F9-7785-40BD-990F-EE5EA5BB0C45}"/>
            </a:ext>
          </a:extLst>
        </xdr:cNvPr>
        <xdr:cNvSpPr>
          <a:spLocks noChangeAspect="1" noChangeArrowheads="1"/>
        </xdr:cNvSpPr>
      </xdr:nvSpPr>
      <xdr:spPr bwMode="auto">
        <a:xfrm>
          <a:off x="206829" y="5170714"/>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28</xdr:row>
      <xdr:rowOff>0</xdr:rowOff>
    </xdr:from>
    <xdr:ext cx="294426" cy="311400"/>
    <xdr:sp macro="" textlink="">
      <xdr:nvSpPr>
        <xdr:cNvPr id="289" name="AutoShape 2" descr="asian paints colour ideas - TikTok Shop">
          <a:extLst>
            <a:ext uri="{FF2B5EF4-FFF2-40B4-BE49-F238E27FC236}">
              <a16:creationId xmlns:a16="http://schemas.microsoft.com/office/drawing/2014/main" id="{7D981164-C351-42ED-94B2-75A7CF041C28}"/>
            </a:ext>
          </a:extLst>
        </xdr:cNvPr>
        <xdr:cNvSpPr>
          <a:spLocks noChangeAspect="1" noChangeArrowheads="1"/>
        </xdr:cNvSpPr>
      </xdr:nvSpPr>
      <xdr:spPr bwMode="auto">
        <a:xfrm>
          <a:off x="206829" y="6368143"/>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28</xdr:row>
      <xdr:rowOff>0</xdr:rowOff>
    </xdr:from>
    <xdr:ext cx="294426" cy="311400"/>
    <xdr:sp macro="" textlink="">
      <xdr:nvSpPr>
        <xdr:cNvPr id="290" name="AutoShape 3" descr="asian paints colour ideas - TikTok Shop">
          <a:extLst>
            <a:ext uri="{FF2B5EF4-FFF2-40B4-BE49-F238E27FC236}">
              <a16:creationId xmlns:a16="http://schemas.microsoft.com/office/drawing/2014/main" id="{272DD1DB-BDEF-40A8-9A06-888142C8CB20}"/>
            </a:ext>
          </a:extLst>
        </xdr:cNvPr>
        <xdr:cNvSpPr>
          <a:spLocks noChangeAspect="1" noChangeArrowheads="1"/>
        </xdr:cNvSpPr>
      </xdr:nvSpPr>
      <xdr:spPr bwMode="auto">
        <a:xfrm>
          <a:off x="206829" y="6368143"/>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28</xdr:row>
      <xdr:rowOff>0</xdr:rowOff>
    </xdr:from>
    <xdr:ext cx="294426" cy="311400"/>
    <xdr:sp macro="" textlink="">
      <xdr:nvSpPr>
        <xdr:cNvPr id="291" name="AutoShape 4" descr="asian paints colour ideas - TikTok Shop">
          <a:extLst>
            <a:ext uri="{FF2B5EF4-FFF2-40B4-BE49-F238E27FC236}">
              <a16:creationId xmlns:a16="http://schemas.microsoft.com/office/drawing/2014/main" id="{D75782D9-F9F7-464A-BD8A-B73A53C86880}"/>
            </a:ext>
          </a:extLst>
        </xdr:cNvPr>
        <xdr:cNvSpPr>
          <a:spLocks noChangeAspect="1" noChangeArrowheads="1"/>
        </xdr:cNvSpPr>
      </xdr:nvSpPr>
      <xdr:spPr bwMode="auto">
        <a:xfrm>
          <a:off x="206829" y="6368143"/>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28</xdr:row>
      <xdr:rowOff>0</xdr:rowOff>
    </xdr:from>
    <xdr:ext cx="294426" cy="311400"/>
    <xdr:sp macro="" textlink="">
      <xdr:nvSpPr>
        <xdr:cNvPr id="292" name="AutoShape 2" descr="asian paints colour ideas - TikTok Shop">
          <a:extLst>
            <a:ext uri="{FF2B5EF4-FFF2-40B4-BE49-F238E27FC236}">
              <a16:creationId xmlns:a16="http://schemas.microsoft.com/office/drawing/2014/main" id="{815383AB-D579-4AB4-B1EB-72F03EA739BA}"/>
            </a:ext>
          </a:extLst>
        </xdr:cNvPr>
        <xdr:cNvSpPr>
          <a:spLocks noChangeAspect="1" noChangeArrowheads="1"/>
        </xdr:cNvSpPr>
      </xdr:nvSpPr>
      <xdr:spPr bwMode="auto">
        <a:xfrm>
          <a:off x="206829" y="6368143"/>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28</xdr:row>
      <xdr:rowOff>0</xdr:rowOff>
    </xdr:from>
    <xdr:ext cx="294426" cy="311400"/>
    <xdr:sp macro="" textlink="">
      <xdr:nvSpPr>
        <xdr:cNvPr id="293" name="AutoShape 3" descr="asian paints colour ideas - TikTok Shop">
          <a:extLst>
            <a:ext uri="{FF2B5EF4-FFF2-40B4-BE49-F238E27FC236}">
              <a16:creationId xmlns:a16="http://schemas.microsoft.com/office/drawing/2014/main" id="{0FD61148-E29E-4F51-A5E7-BAE808FF8FEE}"/>
            </a:ext>
          </a:extLst>
        </xdr:cNvPr>
        <xdr:cNvSpPr>
          <a:spLocks noChangeAspect="1" noChangeArrowheads="1"/>
        </xdr:cNvSpPr>
      </xdr:nvSpPr>
      <xdr:spPr bwMode="auto">
        <a:xfrm>
          <a:off x="206829" y="6368143"/>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28</xdr:row>
      <xdr:rowOff>0</xdr:rowOff>
    </xdr:from>
    <xdr:ext cx="294426" cy="311400"/>
    <xdr:sp macro="" textlink="">
      <xdr:nvSpPr>
        <xdr:cNvPr id="294" name="AutoShape 4" descr="asian paints colour ideas - TikTok Shop">
          <a:extLst>
            <a:ext uri="{FF2B5EF4-FFF2-40B4-BE49-F238E27FC236}">
              <a16:creationId xmlns:a16="http://schemas.microsoft.com/office/drawing/2014/main" id="{8416A49B-57DA-4FA2-96BC-698C7A83BB9C}"/>
            </a:ext>
          </a:extLst>
        </xdr:cNvPr>
        <xdr:cNvSpPr>
          <a:spLocks noChangeAspect="1" noChangeArrowheads="1"/>
        </xdr:cNvSpPr>
      </xdr:nvSpPr>
      <xdr:spPr bwMode="auto">
        <a:xfrm>
          <a:off x="206829" y="6368143"/>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29</xdr:col>
      <xdr:colOff>0</xdr:colOff>
      <xdr:row>33</xdr:row>
      <xdr:rowOff>0</xdr:rowOff>
    </xdr:from>
    <xdr:ext cx="294426" cy="312987"/>
    <xdr:sp macro="" textlink="">
      <xdr:nvSpPr>
        <xdr:cNvPr id="295" name="AutoShape 2" descr="asian paints colour ideas - TikTok Shop">
          <a:extLst>
            <a:ext uri="{FF2B5EF4-FFF2-40B4-BE49-F238E27FC236}">
              <a16:creationId xmlns:a16="http://schemas.microsoft.com/office/drawing/2014/main" id="{E537E32A-EB7D-44CE-8C72-E3D8E9DC0342}"/>
            </a:ext>
          </a:extLst>
        </xdr:cNvPr>
        <xdr:cNvSpPr>
          <a:spLocks noChangeAspect="1" noChangeArrowheads="1"/>
        </xdr:cNvSpPr>
      </xdr:nvSpPr>
      <xdr:spPr bwMode="auto">
        <a:xfrm>
          <a:off x="6923314" y="7565571"/>
          <a:ext cx="294426" cy="3129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29</xdr:col>
      <xdr:colOff>0</xdr:colOff>
      <xdr:row>33</xdr:row>
      <xdr:rowOff>0</xdr:rowOff>
    </xdr:from>
    <xdr:ext cx="294426" cy="312987"/>
    <xdr:sp macro="" textlink="">
      <xdr:nvSpPr>
        <xdr:cNvPr id="296" name="AutoShape 3" descr="asian paints colour ideas - TikTok Shop">
          <a:extLst>
            <a:ext uri="{FF2B5EF4-FFF2-40B4-BE49-F238E27FC236}">
              <a16:creationId xmlns:a16="http://schemas.microsoft.com/office/drawing/2014/main" id="{64ED153C-40F7-466E-9DF3-C76406074497}"/>
            </a:ext>
          </a:extLst>
        </xdr:cNvPr>
        <xdr:cNvSpPr>
          <a:spLocks noChangeAspect="1" noChangeArrowheads="1"/>
        </xdr:cNvSpPr>
      </xdr:nvSpPr>
      <xdr:spPr bwMode="auto">
        <a:xfrm>
          <a:off x="6923314" y="7565571"/>
          <a:ext cx="294426" cy="3129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29</xdr:col>
      <xdr:colOff>0</xdr:colOff>
      <xdr:row>33</xdr:row>
      <xdr:rowOff>0</xdr:rowOff>
    </xdr:from>
    <xdr:ext cx="294426" cy="312987"/>
    <xdr:sp macro="" textlink="">
      <xdr:nvSpPr>
        <xdr:cNvPr id="297" name="AutoShape 4" descr="asian paints colour ideas - TikTok Shop">
          <a:extLst>
            <a:ext uri="{FF2B5EF4-FFF2-40B4-BE49-F238E27FC236}">
              <a16:creationId xmlns:a16="http://schemas.microsoft.com/office/drawing/2014/main" id="{0A4FBD18-D127-4631-8BBF-23E246F57CDD}"/>
            </a:ext>
          </a:extLst>
        </xdr:cNvPr>
        <xdr:cNvSpPr>
          <a:spLocks noChangeAspect="1" noChangeArrowheads="1"/>
        </xdr:cNvSpPr>
      </xdr:nvSpPr>
      <xdr:spPr bwMode="auto">
        <a:xfrm>
          <a:off x="6923314" y="7565571"/>
          <a:ext cx="294426" cy="3129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29</xdr:col>
      <xdr:colOff>0</xdr:colOff>
      <xdr:row>33</xdr:row>
      <xdr:rowOff>0</xdr:rowOff>
    </xdr:from>
    <xdr:ext cx="294426" cy="311400"/>
    <xdr:sp macro="" textlink="">
      <xdr:nvSpPr>
        <xdr:cNvPr id="298" name="AutoShape 2" descr="asian paints colour ideas - TikTok Shop">
          <a:extLst>
            <a:ext uri="{FF2B5EF4-FFF2-40B4-BE49-F238E27FC236}">
              <a16:creationId xmlns:a16="http://schemas.microsoft.com/office/drawing/2014/main" id="{8068034A-9409-4220-9F3E-D18CC826C949}"/>
            </a:ext>
          </a:extLst>
        </xdr:cNvPr>
        <xdr:cNvSpPr>
          <a:spLocks noChangeAspect="1" noChangeArrowheads="1"/>
        </xdr:cNvSpPr>
      </xdr:nvSpPr>
      <xdr:spPr bwMode="auto">
        <a:xfrm>
          <a:off x="6923314" y="7565571"/>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29</xdr:col>
      <xdr:colOff>0</xdr:colOff>
      <xdr:row>33</xdr:row>
      <xdr:rowOff>0</xdr:rowOff>
    </xdr:from>
    <xdr:ext cx="294426" cy="311400"/>
    <xdr:sp macro="" textlink="">
      <xdr:nvSpPr>
        <xdr:cNvPr id="299" name="AutoShape 3" descr="asian paints colour ideas - TikTok Shop">
          <a:extLst>
            <a:ext uri="{FF2B5EF4-FFF2-40B4-BE49-F238E27FC236}">
              <a16:creationId xmlns:a16="http://schemas.microsoft.com/office/drawing/2014/main" id="{E014EAF6-1C19-4786-8372-BA7DA3CFAD37}"/>
            </a:ext>
          </a:extLst>
        </xdr:cNvPr>
        <xdr:cNvSpPr>
          <a:spLocks noChangeAspect="1" noChangeArrowheads="1"/>
        </xdr:cNvSpPr>
      </xdr:nvSpPr>
      <xdr:spPr bwMode="auto">
        <a:xfrm>
          <a:off x="6923314" y="7565571"/>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29</xdr:col>
      <xdr:colOff>0</xdr:colOff>
      <xdr:row>33</xdr:row>
      <xdr:rowOff>0</xdr:rowOff>
    </xdr:from>
    <xdr:ext cx="294426" cy="311400"/>
    <xdr:sp macro="" textlink="">
      <xdr:nvSpPr>
        <xdr:cNvPr id="300" name="AutoShape 4" descr="asian paints colour ideas - TikTok Shop">
          <a:extLst>
            <a:ext uri="{FF2B5EF4-FFF2-40B4-BE49-F238E27FC236}">
              <a16:creationId xmlns:a16="http://schemas.microsoft.com/office/drawing/2014/main" id="{746CD74E-44CB-4D8C-9892-2ACD1A1D6775}"/>
            </a:ext>
          </a:extLst>
        </xdr:cNvPr>
        <xdr:cNvSpPr>
          <a:spLocks noChangeAspect="1" noChangeArrowheads="1"/>
        </xdr:cNvSpPr>
      </xdr:nvSpPr>
      <xdr:spPr bwMode="auto">
        <a:xfrm>
          <a:off x="6923314" y="7565571"/>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33</xdr:row>
      <xdr:rowOff>0</xdr:rowOff>
    </xdr:from>
    <xdr:ext cx="298630" cy="310746"/>
    <xdr:sp macro="" textlink="">
      <xdr:nvSpPr>
        <xdr:cNvPr id="301" name="AutoShape 2" descr="asian paints colour ideas - TikTok Shop">
          <a:extLst>
            <a:ext uri="{FF2B5EF4-FFF2-40B4-BE49-F238E27FC236}">
              <a16:creationId xmlns:a16="http://schemas.microsoft.com/office/drawing/2014/main" id="{28B19A4D-D541-4903-86C4-C62C73AAC104}"/>
            </a:ext>
          </a:extLst>
        </xdr:cNvPr>
        <xdr:cNvSpPr>
          <a:spLocks noChangeAspect="1" noChangeArrowheads="1"/>
        </xdr:cNvSpPr>
      </xdr:nvSpPr>
      <xdr:spPr bwMode="auto">
        <a:xfrm>
          <a:off x="206829" y="7565571"/>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33</xdr:row>
      <xdr:rowOff>0</xdr:rowOff>
    </xdr:from>
    <xdr:ext cx="298630" cy="310746"/>
    <xdr:sp macro="" textlink="">
      <xdr:nvSpPr>
        <xdr:cNvPr id="302" name="AutoShape 3" descr="asian paints colour ideas - TikTok Shop">
          <a:extLst>
            <a:ext uri="{FF2B5EF4-FFF2-40B4-BE49-F238E27FC236}">
              <a16:creationId xmlns:a16="http://schemas.microsoft.com/office/drawing/2014/main" id="{FE5EB6BA-7FAC-4FB0-8F12-C8B4E28564BA}"/>
            </a:ext>
          </a:extLst>
        </xdr:cNvPr>
        <xdr:cNvSpPr>
          <a:spLocks noChangeAspect="1" noChangeArrowheads="1"/>
        </xdr:cNvSpPr>
      </xdr:nvSpPr>
      <xdr:spPr bwMode="auto">
        <a:xfrm>
          <a:off x="206829" y="7565571"/>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33</xdr:row>
      <xdr:rowOff>0</xdr:rowOff>
    </xdr:from>
    <xdr:ext cx="298630" cy="310746"/>
    <xdr:sp macro="" textlink="">
      <xdr:nvSpPr>
        <xdr:cNvPr id="303" name="AutoShape 4" descr="asian paints colour ideas - TikTok Shop">
          <a:extLst>
            <a:ext uri="{FF2B5EF4-FFF2-40B4-BE49-F238E27FC236}">
              <a16:creationId xmlns:a16="http://schemas.microsoft.com/office/drawing/2014/main" id="{354514A4-17AA-4BD9-9182-00A82C9491B9}"/>
            </a:ext>
          </a:extLst>
        </xdr:cNvPr>
        <xdr:cNvSpPr>
          <a:spLocks noChangeAspect="1" noChangeArrowheads="1"/>
        </xdr:cNvSpPr>
      </xdr:nvSpPr>
      <xdr:spPr bwMode="auto">
        <a:xfrm>
          <a:off x="206829" y="7565571"/>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33</xdr:row>
      <xdr:rowOff>0</xdr:rowOff>
    </xdr:from>
    <xdr:ext cx="294426" cy="311400"/>
    <xdr:sp macro="" textlink="">
      <xdr:nvSpPr>
        <xdr:cNvPr id="304" name="AutoShape 2" descr="asian paints colour ideas - TikTok Shop">
          <a:extLst>
            <a:ext uri="{FF2B5EF4-FFF2-40B4-BE49-F238E27FC236}">
              <a16:creationId xmlns:a16="http://schemas.microsoft.com/office/drawing/2014/main" id="{01009563-8C0A-41FD-94E5-60F9CEBE6C92}"/>
            </a:ext>
          </a:extLst>
        </xdr:cNvPr>
        <xdr:cNvSpPr>
          <a:spLocks noChangeAspect="1" noChangeArrowheads="1"/>
        </xdr:cNvSpPr>
      </xdr:nvSpPr>
      <xdr:spPr bwMode="auto">
        <a:xfrm>
          <a:off x="206829" y="7565571"/>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33</xdr:row>
      <xdr:rowOff>0</xdr:rowOff>
    </xdr:from>
    <xdr:ext cx="294426" cy="311400"/>
    <xdr:sp macro="" textlink="">
      <xdr:nvSpPr>
        <xdr:cNvPr id="305" name="AutoShape 3" descr="asian paints colour ideas - TikTok Shop">
          <a:extLst>
            <a:ext uri="{FF2B5EF4-FFF2-40B4-BE49-F238E27FC236}">
              <a16:creationId xmlns:a16="http://schemas.microsoft.com/office/drawing/2014/main" id="{12C7211D-8D3A-43F2-89F6-A89F577818EC}"/>
            </a:ext>
          </a:extLst>
        </xdr:cNvPr>
        <xdr:cNvSpPr>
          <a:spLocks noChangeAspect="1" noChangeArrowheads="1"/>
        </xdr:cNvSpPr>
      </xdr:nvSpPr>
      <xdr:spPr bwMode="auto">
        <a:xfrm>
          <a:off x="206829" y="7565571"/>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33</xdr:row>
      <xdr:rowOff>0</xdr:rowOff>
    </xdr:from>
    <xdr:ext cx="294426" cy="311400"/>
    <xdr:sp macro="" textlink="">
      <xdr:nvSpPr>
        <xdr:cNvPr id="306" name="AutoShape 4" descr="asian paints colour ideas - TikTok Shop">
          <a:extLst>
            <a:ext uri="{FF2B5EF4-FFF2-40B4-BE49-F238E27FC236}">
              <a16:creationId xmlns:a16="http://schemas.microsoft.com/office/drawing/2014/main" id="{665450F0-BA4E-4A3C-89DE-BA336BC6A87F}"/>
            </a:ext>
          </a:extLst>
        </xdr:cNvPr>
        <xdr:cNvSpPr>
          <a:spLocks noChangeAspect="1" noChangeArrowheads="1"/>
        </xdr:cNvSpPr>
      </xdr:nvSpPr>
      <xdr:spPr bwMode="auto">
        <a:xfrm>
          <a:off x="206829" y="7565571"/>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33</xdr:row>
      <xdr:rowOff>0</xdr:rowOff>
    </xdr:from>
    <xdr:ext cx="294426" cy="311400"/>
    <xdr:sp macro="" textlink="">
      <xdr:nvSpPr>
        <xdr:cNvPr id="307" name="AutoShape 2" descr="asian paints colour ideas - TikTok Shop">
          <a:extLst>
            <a:ext uri="{FF2B5EF4-FFF2-40B4-BE49-F238E27FC236}">
              <a16:creationId xmlns:a16="http://schemas.microsoft.com/office/drawing/2014/main" id="{06FB86A7-22A8-48C1-B2A4-C5021B9534A0}"/>
            </a:ext>
          </a:extLst>
        </xdr:cNvPr>
        <xdr:cNvSpPr>
          <a:spLocks noChangeAspect="1" noChangeArrowheads="1"/>
        </xdr:cNvSpPr>
      </xdr:nvSpPr>
      <xdr:spPr bwMode="auto">
        <a:xfrm>
          <a:off x="206829" y="7565571"/>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33</xdr:row>
      <xdr:rowOff>0</xdr:rowOff>
    </xdr:from>
    <xdr:ext cx="294426" cy="311400"/>
    <xdr:sp macro="" textlink="">
      <xdr:nvSpPr>
        <xdr:cNvPr id="308" name="AutoShape 3" descr="asian paints colour ideas - TikTok Shop">
          <a:extLst>
            <a:ext uri="{FF2B5EF4-FFF2-40B4-BE49-F238E27FC236}">
              <a16:creationId xmlns:a16="http://schemas.microsoft.com/office/drawing/2014/main" id="{761F5937-C535-4EE2-8746-2F64F1530218}"/>
            </a:ext>
          </a:extLst>
        </xdr:cNvPr>
        <xdr:cNvSpPr>
          <a:spLocks noChangeAspect="1" noChangeArrowheads="1"/>
        </xdr:cNvSpPr>
      </xdr:nvSpPr>
      <xdr:spPr bwMode="auto">
        <a:xfrm>
          <a:off x="206829" y="7565571"/>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33</xdr:row>
      <xdr:rowOff>0</xdr:rowOff>
    </xdr:from>
    <xdr:ext cx="294426" cy="311400"/>
    <xdr:sp macro="" textlink="">
      <xdr:nvSpPr>
        <xdr:cNvPr id="309" name="AutoShape 4" descr="asian paints colour ideas - TikTok Shop">
          <a:extLst>
            <a:ext uri="{FF2B5EF4-FFF2-40B4-BE49-F238E27FC236}">
              <a16:creationId xmlns:a16="http://schemas.microsoft.com/office/drawing/2014/main" id="{B372B077-7167-4871-BBF4-81FC64235387}"/>
            </a:ext>
          </a:extLst>
        </xdr:cNvPr>
        <xdr:cNvSpPr>
          <a:spLocks noChangeAspect="1" noChangeArrowheads="1"/>
        </xdr:cNvSpPr>
      </xdr:nvSpPr>
      <xdr:spPr bwMode="auto">
        <a:xfrm>
          <a:off x="206829" y="7565571"/>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33</xdr:row>
      <xdr:rowOff>0</xdr:rowOff>
    </xdr:from>
    <xdr:ext cx="298630" cy="310746"/>
    <xdr:sp macro="" textlink="">
      <xdr:nvSpPr>
        <xdr:cNvPr id="310" name="AutoShape 2" descr="asian paints colour ideas - TikTok Shop">
          <a:extLst>
            <a:ext uri="{FF2B5EF4-FFF2-40B4-BE49-F238E27FC236}">
              <a16:creationId xmlns:a16="http://schemas.microsoft.com/office/drawing/2014/main" id="{644B13A8-6AB0-4759-80BC-D9D15DB2D2A1}"/>
            </a:ext>
          </a:extLst>
        </xdr:cNvPr>
        <xdr:cNvSpPr>
          <a:spLocks noChangeAspect="1" noChangeArrowheads="1"/>
        </xdr:cNvSpPr>
      </xdr:nvSpPr>
      <xdr:spPr bwMode="auto">
        <a:xfrm>
          <a:off x="206829" y="7565571"/>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33</xdr:row>
      <xdr:rowOff>0</xdr:rowOff>
    </xdr:from>
    <xdr:ext cx="298630" cy="310746"/>
    <xdr:sp macro="" textlink="">
      <xdr:nvSpPr>
        <xdr:cNvPr id="311" name="AutoShape 3" descr="asian paints colour ideas - TikTok Shop">
          <a:extLst>
            <a:ext uri="{FF2B5EF4-FFF2-40B4-BE49-F238E27FC236}">
              <a16:creationId xmlns:a16="http://schemas.microsoft.com/office/drawing/2014/main" id="{67F94AD7-AB52-42F0-80DF-C9958035D427}"/>
            </a:ext>
          </a:extLst>
        </xdr:cNvPr>
        <xdr:cNvSpPr>
          <a:spLocks noChangeAspect="1" noChangeArrowheads="1"/>
        </xdr:cNvSpPr>
      </xdr:nvSpPr>
      <xdr:spPr bwMode="auto">
        <a:xfrm>
          <a:off x="206829" y="7565571"/>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33</xdr:row>
      <xdr:rowOff>0</xdr:rowOff>
    </xdr:from>
    <xdr:ext cx="298630" cy="310746"/>
    <xdr:sp macro="" textlink="">
      <xdr:nvSpPr>
        <xdr:cNvPr id="312" name="AutoShape 4" descr="asian paints colour ideas - TikTok Shop">
          <a:extLst>
            <a:ext uri="{FF2B5EF4-FFF2-40B4-BE49-F238E27FC236}">
              <a16:creationId xmlns:a16="http://schemas.microsoft.com/office/drawing/2014/main" id="{4BF0ADBD-0EE3-4D29-B51F-29EA3D1CDAF0}"/>
            </a:ext>
          </a:extLst>
        </xdr:cNvPr>
        <xdr:cNvSpPr>
          <a:spLocks noChangeAspect="1" noChangeArrowheads="1"/>
        </xdr:cNvSpPr>
      </xdr:nvSpPr>
      <xdr:spPr bwMode="auto">
        <a:xfrm>
          <a:off x="206829" y="7565571"/>
          <a:ext cx="298630" cy="3107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33</xdr:row>
      <xdr:rowOff>0</xdr:rowOff>
    </xdr:from>
    <xdr:ext cx="294426" cy="311400"/>
    <xdr:sp macro="" textlink="">
      <xdr:nvSpPr>
        <xdr:cNvPr id="313" name="AutoShape 2" descr="asian paints colour ideas - TikTok Shop">
          <a:extLst>
            <a:ext uri="{FF2B5EF4-FFF2-40B4-BE49-F238E27FC236}">
              <a16:creationId xmlns:a16="http://schemas.microsoft.com/office/drawing/2014/main" id="{18D6E9AF-33AE-4996-9898-5065C7D5413A}"/>
            </a:ext>
          </a:extLst>
        </xdr:cNvPr>
        <xdr:cNvSpPr>
          <a:spLocks noChangeAspect="1" noChangeArrowheads="1"/>
        </xdr:cNvSpPr>
      </xdr:nvSpPr>
      <xdr:spPr bwMode="auto">
        <a:xfrm>
          <a:off x="206829" y="7565571"/>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33</xdr:row>
      <xdr:rowOff>0</xdr:rowOff>
    </xdr:from>
    <xdr:ext cx="294426" cy="311400"/>
    <xdr:sp macro="" textlink="">
      <xdr:nvSpPr>
        <xdr:cNvPr id="314" name="AutoShape 3" descr="asian paints colour ideas - TikTok Shop">
          <a:extLst>
            <a:ext uri="{FF2B5EF4-FFF2-40B4-BE49-F238E27FC236}">
              <a16:creationId xmlns:a16="http://schemas.microsoft.com/office/drawing/2014/main" id="{9BEBCE49-6114-4781-BDF8-59BF44A01A93}"/>
            </a:ext>
          </a:extLst>
        </xdr:cNvPr>
        <xdr:cNvSpPr>
          <a:spLocks noChangeAspect="1" noChangeArrowheads="1"/>
        </xdr:cNvSpPr>
      </xdr:nvSpPr>
      <xdr:spPr bwMode="auto">
        <a:xfrm>
          <a:off x="206829" y="7565571"/>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33</xdr:row>
      <xdr:rowOff>0</xdr:rowOff>
    </xdr:from>
    <xdr:ext cx="294426" cy="311400"/>
    <xdr:sp macro="" textlink="">
      <xdr:nvSpPr>
        <xdr:cNvPr id="315" name="AutoShape 4" descr="asian paints colour ideas - TikTok Shop">
          <a:extLst>
            <a:ext uri="{FF2B5EF4-FFF2-40B4-BE49-F238E27FC236}">
              <a16:creationId xmlns:a16="http://schemas.microsoft.com/office/drawing/2014/main" id="{997EE403-3B67-4025-8793-131726204E41}"/>
            </a:ext>
          </a:extLst>
        </xdr:cNvPr>
        <xdr:cNvSpPr>
          <a:spLocks noChangeAspect="1" noChangeArrowheads="1"/>
        </xdr:cNvSpPr>
      </xdr:nvSpPr>
      <xdr:spPr bwMode="auto">
        <a:xfrm>
          <a:off x="206829" y="7565571"/>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33</xdr:row>
      <xdr:rowOff>0</xdr:rowOff>
    </xdr:from>
    <xdr:ext cx="294426" cy="311400"/>
    <xdr:sp macro="" textlink="">
      <xdr:nvSpPr>
        <xdr:cNvPr id="316" name="AutoShape 2" descr="asian paints colour ideas - TikTok Shop">
          <a:extLst>
            <a:ext uri="{FF2B5EF4-FFF2-40B4-BE49-F238E27FC236}">
              <a16:creationId xmlns:a16="http://schemas.microsoft.com/office/drawing/2014/main" id="{4A5E45E6-355B-4C5A-B00A-74725318E341}"/>
            </a:ext>
          </a:extLst>
        </xdr:cNvPr>
        <xdr:cNvSpPr>
          <a:spLocks noChangeAspect="1" noChangeArrowheads="1"/>
        </xdr:cNvSpPr>
      </xdr:nvSpPr>
      <xdr:spPr bwMode="auto">
        <a:xfrm>
          <a:off x="206829" y="7565571"/>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33</xdr:row>
      <xdr:rowOff>0</xdr:rowOff>
    </xdr:from>
    <xdr:ext cx="294426" cy="311400"/>
    <xdr:sp macro="" textlink="">
      <xdr:nvSpPr>
        <xdr:cNvPr id="317" name="AutoShape 3" descr="asian paints colour ideas - TikTok Shop">
          <a:extLst>
            <a:ext uri="{FF2B5EF4-FFF2-40B4-BE49-F238E27FC236}">
              <a16:creationId xmlns:a16="http://schemas.microsoft.com/office/drawing/2014/main" id="{B23DBD49-EBD7-4524-8F95-5D73BC05C501}"/>
            </a:ext>
          </a:extLst>
        </xdr:cNvPr>
        <xdr:cNvSpPr>
          <a:spLocks noChangeAspect="1" noChangeArrowheads="1"/>
        </xdr:cNvSpPr>
      </xdr:nvSpPr>
      <xdr:spPr bwMode="auto">
        <a:xfrm>
          <a:off x="206829" y="7565571"/>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33</xdr:row>
      <xdr:rowOff>0</xdr:rowOff>
    </xdr:from>
    <xdr:ext cx="294426" cy="311400"/>
    <xdr:sp macro="" textlink="">
      <xdr:nvSpPr>
        <xdr:cNvPr id="318" name="AutoShape 4" descr="asian paints colour ideas - TikTok Shop">
          <a:extLst>
            <a:ext uri="{FF2B5EF4-FFF2-40B4-BE49-F238E27FC236}">
              <a16:creationId xmlns:a16="http://schemas.microsoft.com/office/drawing/2014/main" id="{EE2C0EE2-D40A-41DC-8D43-C2782CF51B3C}"/>
            </a:ext>
          </a:extLst>
        </xdr:cNvPr>
        <xdr:cNvSpPr>
          <a:spLocks noChangeAspect="1" noChangeArrowheads="1"/>
        </xdr:cNvSpPr>
      </xdr:nvSpPr>
      <xdr:spPr bwMode="auto">
        <a:xfrm>
          <a:off x="206829" y="7565571"/>
          <a:ext cx="294426" cy="311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6</xdr:col>
      <xdr:colOff>725675</xdr:colOff>
      <xdr:row>1</xdr:row>
      <xdr:rowOff>0</xdr:rowOff>
    </xdr:from>
    <xdr:to>
      <xdr:col>7</xdr:col>
      <xdr:colOff>641432</xdr:colOff>
      <xdr:row>2</xdr:row>
      <xdr:rowOff>54981</xdr:rowOff>
    </xdr:to>
    <xdr:sp macro="" textlink="">
      <xdr:nvSpPr>
        <xdr:cNvPr id="70" name="Rectangle: Rounded Corners 69">
          <a:hlinkClick xmlns:r="http://schemas.openxmlformats.org/officeDocument/2006/relationships" r:id="rId2"/>
          <a:extLst>
            <a:ext uri="{FF2B5EF4-FFF2-40B4-BE49-F238E27FC236}">
              <a16:creationId xmlns:a16="http://schemas.microsoft.com/office/drawing/2014/main" id="{C603AC51-B3AC-4B8F-910F-1F33A3BD4135}"/>
            </a:ext>
          </a:extLst>
        </xdr:cNvPr>
        <xdr:cNvSpPr/>
      </xdr:nvSpPr>
      <xdr:spPr>
        <a:xfrm>
          <a:off x="6617568" y="176893"/>
          <a:ext cx="949900" cy="23187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Valuation-FCFF</a:t>
          </a:r>
        </a:p>
      </xdr:txBody>
    </xdr:sp>
    <xdr:clientData/>
  </xdr:twoCellAnchor>
  <xdr:twoCellAnchor>
    <xdr:from>
      <xdr:col>7</xdr:col>
      <xdr:colOff>668671</xdr:colOff>
      <xdr:row>1</xdr:row>
      <xdr:rowOff>0</xdr:rowOff>
    </xdr:from>
    <xdr:to>
      <xdr:col>8</xdr:col>
      <xdr:colOff>685877</xdr:colOff>
      <xdr:row>2</xdr:row>
      <xdr:rowOff>54981</xdr:rowOff>
    </xdr:to>
    <xdr:sp macro="" textlink="">
      <xdr:nvSpPr>
        <xdr:cNvPr id="94" name="Rectangle: Rounded Corners 93">
          <a:hlinkClick xmlns:r="http://schemas.openxmlformats.org/officeDocument/2006/relationships" r:id="rId3"/>
          <a:extLst>
            <a:ext uri="{FF2B5EF4-FFF2-40B4-BE49-F238E27FC236}">
              <a16:creationId xmlns:a16="http://schemas.microsoft.com/office/drawing/2014/main" id="{1C162C20-521B-4419-AD4D-048773F17B5D}"/>
            </a:ext>
          </a:extLst>
        </xdr:cNvPr>
        <xdr:cNvSpPr/>
      </xdr:nvSpPr>
      <xdr:spPr>
        <a:xfrm>
          <a:off x="7594707" y="176893"/>
          <a:ext cx="1051349" cy="23187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Sensitivity Analysis</a:t>
          </a:r>
        </a:p>
      </xdr:txBody>
    </xdr:sp>
    <xdr:clientData/>
  </xdr:twoCellAnchor>
  <xdr:twoCellAnchor>
    <xdr:from>
      <xdr:col>8</xdr:col>
      <xdr:colOff>713116</xdr:colOff>
      <xdr:row>1</xdr:row>
      <xdr:rowOff>0</xdr:rowOff>
    </xdr:from>
    <xdr:to>
      <xdr:col>9</xdr:col>
      <xdr:colOff>128228</xdr:colOff>
      <xdr:row>2</xdr:row>
      <xdr:rowOff>55890</xdr:rowOff>
    </xdr:to>
    <xdr:sp macro="" textlink="">
      <xdr:nvSpPr>
        <xdr:cNvPr id="319" name="Rectangle: Rounded Corners 318">
          <a:hlinkClick xmlns:r="http://schemas.openxmlformats.org/officeDocument/2006/relationships" r:id="rId4"/>
          <a:extLst>
            <a:ext uri="{FF2B5EF4-FFF2-40B4-BE49-F238E27FC236}">
              <a16:creationId xmlns:a16="http://schemas.microsoft.com/office/drawing/2014/main" id="{A1AD1351-2106-4C4E-BA3F-C9FC67961C71}"/>
            </a:ext>
          </a:extLst>
        </xdr:cNvPr>
        <xdr:cNvSpPr/>
      </xdr:nvSpPr>
      <xdr:spPr>
        <a:xfrm>
          <a:off x="8673295" y="176893"/>
          <a:ext cx="449254"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SOFP</a:t>
          </a:r>
        </a:p>
      </xdr:txBody>
    </xdr:sp>
    <xdr:clientData/>
  </xdr:twoCellAnchor>
  <xdr:twoCellAnchor>
    <xdr:from>
      <xdr:col>9</xdr:col>
      <xdr:colOff>156804</xdr:colOff>
      <xdr:row>1</xdr:row>
      <xdr:rowOff>0</xdr:rowOff>
    </xdr:from>
    <xdr:to>
      <xdr:col>9</xdr:col>
      <xdr:colOff>593657</xdr:colOff>
      <xdr:row>2</xdr:row>
      <xdr:rowOff>55890</xdr:rowOff>
    </xdr:to>
    <xdr:sp macro="" textlink="">
      <xdr:nvSpPr>
        <xdr:cNvPr id="320" name="Rectangle: Rounded Corners 319">
          <a:hlinkClick xmlns:r="http://schemas.openxmlformats.org/officeDocument/2006/relationships" r:id="rId5"/>
          <a:extLst>
            <a:ext uri="{FF2B5EF4-FFF2-40B4-BE49-F238E27FC236}">
              <a16:creationId xmlns:a16="http://schemas.microsoft.com/office/drawing/2014/main" id="{D6DFF848-A4A1-4BEE-B01E-EFEBAA0076FD}"/>
            </a:ext>
          </a:extLst>
        </xdr:cNvPr>
        <xdr:cNvSpPr/>
      </xdr:nvSpPr>
      <xdr:spPr>
        <a:xfrm>
          <a:off x="9151125" y="176893"/>
          <a:ext cx="436853"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SOPL</a:t>
          </a:r>
        </a:p>
      </xdr:txBody>
    </xdr:sp>
    <xdr:clientData/>
  </xdr:twoCellAnchor>
  <xdr:twoCellAnchor>
    <xdr:from>
      <xdr:col>9</xdr:col>
      <xdr:colOff>620896</xdr:colOff>
      <xdr:row>1</xdr:row>
      <xdr:rowOff>0</xdr:rowOff>
    </xdr:from>
    <xdr:to>
      <xdr:col>10</xdr:col>
      <xdr:colOff>34870</xdr:colOff>
      <xdr:row>2</xdr:row>
      <xdr:rowOff>55890</xdr:rowOff>
    </xdr:to>
    <xdr:sp macro="" textlink="">
      <xdr:nvSpPr>
        <xdr:cNvPr id="321" name="Rectangle: Rounded Corners 320">
          <a:hlinkClick xmlns:r="http://schemas.openxmlformats.org/officeDocument/2006/relationships" r:id="rId6"/>
          <a:extLst>
            <a:ext uri="{FF2B5EF4-FFF2-40B4-BE49-F238E27FC236}">
              <a16:creationId xmlns:a16="http://schemas.microsoft.com/office/drawing/2014/main" id="{55BE2B48-7906-4103-8963-A1EBD621814D}"/>
            </a:ext>
          </a:extLst>
        </xdr:cNvPr>
        <xdr:cNvSpPr/>
      </xdr:nvSpPr>
      <xdr:spPr>
        <a:xfrm>
          <a:off x="9615217" y="176893"/>
          <a:ext cx="448117"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SOCF</a:t>
          </a:r>
        </a:p>
      </xdr:txBody>
    </xdr:sp>
    <xdr:clientData/>
  </xdr:twoCellAnchor>
  <xdr:twoCellAnchor>
    <xdr:from>
      <xdr:col>10</xdr:col>
      <xdr:colOff>62109</xdr:colOff>
      <xdr:row>1</xdr:row>
      <xdr:rowOff>0</xdr:rowOff>
    </xdr:from>
    <xdr:to>
      <xdr:col>10</xdr:col>
      <xdr:colOff>683469</xdr:colOff>
      <xdr:row>2</xdr:row>
      <xdr:rowOff>55890</xdr:rowOff>
    </xdr:to>
    <xdr:sp macro="" textlink="">
      <xdr:nvSpPr>
        <xdr:cNvPr id="322" name="Rectangle: Rounded Corners 321">
          <a:hlinkClick xmlns:r="http://schemas.openxmlformats.org/officeDocument/2006/relationships" r:id="rId7"/>
          <a:extLst>
            <a:ext uri="{FF2B5EF4-FFF2-40B4-BE49-F238E27FC236}">
              <a16:creationId xmlns:a16="http://schemas.microsoft.com/office/drawing/2014/main" id="{3DE7DBAA-2ADD-4636-AAEE-322A37F662A6}"/>
            </a:ext>
          </a:extLst>
        </xdr:cNvPr>
        <xdr:cNvSpPr/>
      </xdr:nvSpPr>
      <xdr:spPr>
        <a:xfrm>
          <a:off x="10090573" y="176893"/>
          <a:ext cx="621360" cy="232783"/>
        </a:xfrm>
        <a:prstGeom prst="roundRect">
          <a:avLst/>
        </a:prstGeom>
        <a:solidFill>
          <a:schemeClr val="accent1">
            <a:lumMod val="75000"/>
          </a:schemeClr>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Schedule</a:t>
          </a:r>
        </a:p>
      </xdr:txBody>
    </xdr:sp>
    <xdr:clientData/>
  </xdr:twoCellAnchor>
  <xdr:twoCellAnchor>
    <xdr:from>
      <xdr:col>10</xdr:col>
      <xdr:colOff>710708</xdr:colOff>
      <xdr:row>1</xdr:row>
      <xdr:rowOff>0</xdr:rowOff>
    </xdr:from>
    <xdr:to>
      <xdr:col>11</xdr:col>
      <xdr:colOff>507129</xdr:colOff>
      <xdr:row>2</xdr:row>
      <xdr:rowOff>55890</xdr:rowOff>
    </xdr:to>
    <xdr:sp macro="" textlink="">
      <xdr:nvSpPr>
        <xdr:cNvPr id="323" name="Rectangle: Rounded Corners 322">
          <a:hlinkClick xmlns:r="http://schemas.openxmlformats.org/officeDocument/2006/relationships" r:id="rId8"/>
          <a:extLst>
            <a:ext uri="{FF2B5EF4-FFF2-40B4-BE49-F238E27FC236}">
              <a16:creationId xmlns:a16="http://schemas.microsoft.com/office/drawing/2014/main" id="{DE901AEE-293A-4720-B6DD-053B6306F50D}"/>
            </a:ext>
          </a:extLst>
        </xdr:cNvPr>
        <xdr:cNvSpPr/>
      </xdr:nvSpPr>
      <xdr:spPr>
        <a:xfrm>
          <a:off x="10739172" y="176893"/>
          <a:ext cx="830564"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Ratio Analysis</a:t>
          </a:r>
        </a:p>
      </xdr:txBody>
    </xdr:sp>
    <xdr:clientData/>
  </xdr:twoCellAnchor>
  <xdr:twoCellAnchor>
    <xdr:from>
      <xdr:col>11</xdr:col>
      <xdr:colOff>534368</xdr:colOff>
      <xdr:row>1</xdr:row>
      <xdr:rowOff>0</xdr:rowOff>
    </xdr:from>
    <xdr:to>
      <xdr:col>12</xdr:col>
      <xdr:colOff>731184</xdr:colOff>
      <xdr:row>2</xdr:row>
      <xdr:rowOff>55890</xdr:rowOff>
    </xdr:to>
    <xdr:sp macro="" textlink="">
      <xdr:nvSpPr>
        <xdr:cNvPr id="324" name="Rectangle: Rounded Corners 323">
          <a:hlinkClick xmlns:r="http://schemas.openxmlformats.org/officeDocument/2006/relationships" r:id="rId9"/>
          <a:extLst>
            <a:ext uri="{FF2B5EF4-FFF2-40B4-BE49-F238E27FC236}">
              <a16:creationId xmlns:a16="http://schemas.microsoft.com/office/drawing/2014/main" id="{E1ABD6E7-BCEC-41B8-B16E-1194EC2CCE4D}"/>
            </a:ext>
          </a:extLst>
        </xdr:cNvPr>
        <xdr:cNvSpPr/>
      </xdr:nvSpPr>
      <xdr:spPr>
        <a:xfrm>
          <a:off x="11596975" y="176893"/>
          <a:ext cx="1230959"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Common-Size Analysis</a:t>
          </a:r>
        </a:p>
      </xdr:txBody>
    </xdr:sp>
    <xdr:clientData/>
  </xdr:twoCellAnchor>
  <xdr:twoCellAnchor>
    <xdr:from>
      <xdr:col>12</xdr:col>
      <xdr:colOff>758421</xdr:colOff>
      <xdr:row>1</xdr:row>
      <xdr:rowOff>1594</xdr:rowOff>
    </xdr:from>
    <xdr:to>
      <xdr:col>13</xdr:col>
      <xdr:colOff>898810</xdr:colOff>
      <xdr:row>2</xdr:row>
      <xdr:rowOff>57895</xdr:rowOff>
    </xdr:to>
    <xdr:sp macro="" textlink="">
      <xdr:nvSpPr>
        <xdr:cNvPr id="325" name="Rectangle: Rounded Corners 324">
          <a:hlinkClick xmlns:r="http://schemas.openxmlformats.org/officeDocument/2006/relationships" r:id="rId10"/>
          <a:extLst>
            <a:ext uri="{FF2B5EF4-FFF2-40B4-BE49-F238E27FC236}">
              <a16:creationId xmlns:a16="http://schemas.microsoft.com/office/drawing/2014/main" id="{052A5C90-F622-4F12-B327-C6090DB598BD}"/>
            </a:ext>
          </a:extLst>
        </xdr:cNvPr>
        <xdr:cNvSpPr/>
      </xdr:nvSpPr>
      <xdr:spPr>
        <a:xfrm>
          <a:off x="12855171" y="178487"/>
          <a:ext cx="1174532" cy="23319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Comparative</a:t>
          </a:r>
          <a:r>
            <a:rPr lang="en-IN" sz="900" b="1" baseline="0">
              <a:latin typeface="+mj-lt"/>
              <a:cs typeface="Segoe UI" panose="020B0502040204020203" pitchFamily="34" charset="0"/>
            </a:rPr>
            <a:t> Analysis</a:t>
          </a:r>
          <a:endParaRPr lang="en-IN" sz="900" b="1">
            <a:latin typeface="+mj-lt"/>
            <a:cs typeface="Segoe UI" panose="020B0502040204020203" pitchFamily="34" charset="0"/>
          </a:endParaRPr>
        </a:p>
      </xdr:txBody>
    </xdr:sp>
    <xdr:clientData/>
  </xdr:twoCellAnchor>
  <xdr:twoCellAnchor>
    <xdr:from>
      <xdr:col>6</xdr:col>
      <xdr:colOff>0</xdr:colOff>
      <xdr:row>1</xdr:row>
      <xdr:rowOff>0</xdr:rowOff>
    </xdr:from>
    <xdr:to>
      <xdr:col>6</xdr:col>
      <xdr:colOff>698436</xdr:colOff>
      <xdr:row>2</xdr:row>
      <xdr:rowOff>55891</xdr:rowOff>
    </xdr:to>
    <xdr:sp macro="" textlink="">
      <xdr:nvSpPr>
        <xdr:cNvPr id="326" name="Rectangle: Rounded Corners 325">
          <a:hlinkClick xmlns:r="http://schemas.openxmlformats.org/officeDocument/2006/relationships" r:id="rId11"/>
          <a:extLst>
            <a:ext uri="{FF2B5EF4-FFF2-40B4-BE49-F238E27FC236}">
              <a16:creationId xmlns:a16="http://schemas.microsoft.com/office/drawing/2014/main" id="{2985F59A-5E22-49C3-89D7-24F5E8CC494C}"/>
            </a:ext>
          </a:extLst>
        </xdr:cNvPr>
        <xdr:cNvSpPr/>
      </xdr:nvSpPr>
      <xdr:spPr>
        <a:xfrm>
          <a:off x="5891893" y="176893"/>
          <a:ext cx="698436" cy="23278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Dashboard</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96496</xdr:colOff>
      <xdr:row>1</xdr:row>
      <xdr:rowOff>121920</xdr:rowOff>
    </xdr:to>
    <xdr:sp macro="" textlink="">
      <xdr:nvSpPr>
        <xdr:cNvPr id="2" name="AutoShape 1" descr="asian paints colour ideas - TikTok Shop">
          <a:extLst>
            <a:ext uri="{FF2B5EF4-FFF2-40B4-BE49-F238E27FC236}">
              <a16:creationId xmlns:a16="http://schemas.microsoft.com/office/drawing/2014/main" id="{16AFFFA2-54FB-4FD3-B872-32B6DBE565C4}"/>
            </a:ext>
          </a:extLst>
        </xdr:cNvPr>
        <xdr:cNvSpPr>
          <a:spLocks noChangeAspect="1" noChangeArrowheads="1"/>
        </xdr:cNvSpPr>
      </xdr:nvSpPr>
      <xdr:spPr bwMode="auto">
        <a:xfrm>
          <a:off x="0" y="0"/>
          <a:ext cx="302236"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8561</xdr:colOff>
      <xdr:row>0</xdr:row>
      <xdr:rowOff>77885</xdr:rowOff>
    </xdr:from>
    <xdr:to>
      <xdr:col>4</xdr:col>
      <xdr:colOff>144978</xdr:colOff>
      <xdr:row>4</xdr:row>
      <xdr:rowOff>167687</xdr:rowOff>
    </xdr:to>
    <xdr:pic>
      <xdr:nvPicPr>
        <xdr:cNvPr id="3" name="Picture 2">
          <a:extLst>
            <a:ext uri="{FF2B5EF4-FFF2-40B4-BE49-F238E27FC236}">
              <a16:creationId xmlns:a16="http://schemas.microsoft.com/office/drawing/2014/main" id="{31E42571-AE85-4859-9EFF-B62265F54977}"/>
            </a:ext>
          </a:extLst>
        </xdr:cNvPr>
        <xdr:cNvPicPr>
          <a:picLocks noChangeAspect="1"/>
        </xdr:cNvPicPr>
      </xdr:nvPicPr>
      <xdr:blipFill>
        <a:blip xmlns:r="http://schemas.openxmlformats.org/officeDocument/2006/relationships" r:embed="rId1"/>
        <a:stretch>
          <a:fillRect/>
        </a:stretch>
      </xdr:blipFill>
      <xdr:spPr>
        <a:xfrm>
          <a:off x="216379" y="77885"/>
          <a:ext cx="982410" cy="851802"/>
        </a:xfrm>
        <a:prstGeom prst="rect">
          <a:avLst/>
        </a:prstGeom>
      </xdr:spPr>
    </xdr:pic>
    <xdr:clientData/>
  </xdr:twoCellAnchor>
  <xdr:twoCellAnchor editAs="oneCell">
    <xdr:from>
      <xdr:col>4</xdr:col>
      <xdr:colOff>0</xdr:colOff>
      <xdr:row>28</xdr:row>
      <xdr:rowOff>0</xdr:rowOff>
    </xdr:from>
    <xdr:to>
      <xdr:col>4</xdr:col>
      <xdr:colOff>301955</xdr:colOff>
      <xdr:row>29</xdr:row>
      <xdr:rowOff>121921</xdr:rowOff>
    </xdr:to>
    <xdr:sp macro="" textlink="">
      <xdr:nvSpPr>
        <xdr:cNvPr id="4" name="AutoShape 2" descr="asian paints colour ideas - TikTok Shop">
          <a:extLst>
            <a:ext uri="{FF2B5EF4-FFF2-40B4-BE49-F238E27FC236}">
              <a16:creationId xmlns:a16="http://schemas.microsoft.com/office/drawing/2014/main" id="{8796A18B-6A25-4039-9062-18540CA70CCD}"/>
            </a:ext>
          </a:extLst>
        </xdr:cNvPr>
        <xdr:cNvSpPr>
          <a:spLocks noChangeAspect="1" noChangeArrowheads="1"/>
        </xdr:cNvSpPr>
      </xdr:nvSpPr>
      <xdr:spPr bwMode="auto">
        <a:xfrm>
          <a:off x="906780" y="4617720"/>
          <a:ext cx="305846"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11</xdr:col>
      <xdr:colOff>725675</xdr:colOff>
      <xdr:row>1</xdr:row>
      <xdr:rowOff>0</xdr:rowOff>
    </xdr:from>
    <xdr:to>
      <xdr:col>12</xdr:col>
      <xdr:colOff>829941</xdr:colOff>
      <xdr:row>2</xdr:row>
      <xdr:rowOff>46021</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BFB98732-1284-4EA2-A066-5442F5AC3B64}"/>
            </a:ext>
          </a:extLst>
        </xdr:cNvPr>
        <xdr:cNvSpPr/>
      </xdr:nvSpPr>
      <xdr:spPr>
        <a:xfrm>
          <a:off x="5567163" y="185854"/>
          <a:ext cx="949900" cy="23187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Valuation-FCFF</a:t>
          </a:r>
        </a:p>
      </xdr:txBody>
    </xdr:sp>
    <xdr:clientData/>
  </xdr:twoCellAnchor>
  <xdr:twoCellAnchor>
    <xdr:from>
      <xdr:col>13</xdr:col>
      <xdr:colOff>11546</xdr:colOff>
      <xdr:row>1</xdr:row>
      <xdr:rowOff>0</xdr:rowOff>
    </xdr:from>
    <xdr:to>
      <xdr:col>14</xdr:col>
      <xdr:colOff>217261</xdr:colOff>
      <xdr:row>2</xdr:row>
      <xdr:rowOff>46021</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CFBD8750-111C-4E09-9F02-96F10CC2C0F6}"/>
            </a:ext>
          </a:extLst>
        </xdr:cNvPr>
        <xdr:cNvSpPr/>
      </xdr:nvSpPr>
      <xdr:spPr>
        <a:xfrm>
          <a:off x="6544302" y="185854"/>
          <a:ext cx="1051349" cy="23187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Sensitivity Analysis</a:t>
          </a:r>
        </a:p>
      </xdr:txBody>
    </xdr:sp>
    <xdr:clientData/>
  </xdr:twoCellAnchor>
  <xdr:twoCellAnchor>
    <xdr:from>
      <xdr:col>14</xdr:col>
      <xdr:colOff>244500</xdr:colOff>
      <xdr:row>1</xdr:row>
      <xdr:rowOff>0</xdr:rowOff>
    </xdr:from>
    <xdr:to>
      <xdr:col>14</xdr:col>
      <xdr:colOff>693754</xdr:colOff>
      <xdr:row>2</xdr:row>
      <xdr:rowOff>46930</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FC46F273-E8C2-4E35-90FF-2E190B9CE293}"/>
            </a:ext>
          </a:extLst>
        </xdr:cNvPr>
        <xdr:cNvSpPr/>
      </xdr:nvSpPr>
      <xdr:spPr>
        <a:xfrm>
          <a:off x="7622890" y="185854"/>
          <a:ext cx="449254"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SOFP</a:t>
          </a:r>
        </a:p>
      </xdr:txBody>
    </xdr:sp>
    <xdr:clientData/>
  </xdr:twoCellAnchor>
  <xdr:twoCellAnchor>
    <xdr:from>
      <xdr:col>14</xdr:col>
      <xdr:colOff>722330</xdr:colOff>
      <xdr:row>1</xdr:row>
      <xdr:rowOff>0</xdr:rowOff>
    </xdr:from>
    <xdr:to>
      <xdr:col>15</xdr:col>
      <xdr:colOff>313549</xdr:colOff>
      <xdr:row>2</xdr:row>
      <xdr:rowOff>46930</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F9F2EC66-E724-4073-97E4-176CCDB40632}"/>
            </a:ext>
          </a:extLst>
        </xdr:cNvPr>
        <xdr:cNvSpPr/>
      </xdr:nvSpPr>
      <xdr:spPr>
        <a:xfrm>
          <a:off x="8100720" y="185854"/>
          <a:ext cx="436853"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SOPL</a:t>
          </a:r>
        </a:p>
      </xdr:txBody>
    </xdr:sp>
    <xdr:clientData/>
  </xdr:twoCellAnchor>
  <xdr:twoCellAnchor>
    <xdr:from>
      <xdr:col>15</xdr:col>
      <xdr:colOff>340788</xdr:colOff>
      <xdr:row>1</xdr:row>
      <xdr:rowOff>0</xdr:rowOff>
    </xdr:from>
    <xdr:to>
      <xdr:col>15</xdr:col>
      <xdr:colOff>788905</xdr:colOff>
      <xdr:row>2</xdr:row>
      <xdr:rowOff>46930</xdr:rowOff>
    </xdr:to>
    <xdr:sp macro="" textlink="">
      <xdr:nvSpPr>
        <xdr:cNvPr id="9" name="Rectangle: Rounded Corners 8">
          <a:hlinkClick xmlns:r="http://schemas.openxmlformats.org/officeDocument/2006/relationships" r:id="rId6"/>
          <a:extLst>
            <a:ext uri="{FF2B5EF4-FFF2-40B4-BE49-F238E27FC236}">
              <a16:creationId xmlns:a16="http://schemas.microsoft.com/office/drawing/2014/main" id="{A97C190D-A604-4CB6-8F51-FE1F74824EC0}"/>
            </a:ext>
          </a:extLst>
        </xdr:cNvPr>
        <xdr:cNvSpPr/>
      </xdr:nvSpPr>
      <xdr:spPr>
        <a:xfrm>
          <a:off x="8564812" y="185854"/>
          <a:ext cx="448117"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SOCF</a:t>
          </a:r>
        </a:p>
      </xdr:txBody>
    </xdr:sp>
    <xdr:clientData/>
  </xdr:twoCellAnchor>
  <xdr:twoCellAnchor>
    <xdr:from>
      <xdr:col>15</xdr:col>
      <xdr:colOff>816144</xdr:colOff>
      <xdr:row>1</xdr:row>
      <xdr:rowOff>0</xdr:rowOff>
    </xdr:from>
    <xdr:to>
      <xdr:col>16</xdr:col>
      <xdr:colOff>610455</xdr:colOff>
      <xdr:row>2</xdr:row>
      <xdr:rowOff>46930</xdr:rowOff>
    </xdr:to>
    <xdr:sp macro="" textlink="">
      <xdr:nvSpPr>
        <xdr:cNvPr id="10" name="Rectangle: Rounded Corners 9">
          <a:hlinkClick xmlns:r="http://schemas.openxmlformats.org/officeDocument/2006/relationships" r:id="rId7"/>
          <a:extLst>
            <a:ext uri="{FF2B5EF4-FFF2-40B4-BE49-F238E27FC236}">
              <a16:creationId xmlns:a16="http://schemas.microsoft.com/office/drawing/2014/main" id="{6FC7F23A-5B2B-43ED-A171-2878ACE19195}"/>
            </a:ext>
          </a:extLst>
        </xdr:cNvPr>
        <xdr:cNvSpPr/>
      </xdr:nvSpPr>
      <xdr:spPr>
        <a:xfrm>
          <a:off x="9040168" y="185854"/>
          <a:ext cx="621360"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Schedule</a:t>
          </a:r>
        </a:p>
      </xdr:txBody>
    </xdr:sp>
    <xdr:clientData/>
  </xdr:twoCellAnchor>
  <xdr:twoCellAnchor>
    <xdr:from>
      <xdr:col>16</xdr:col>
      <xdr:colOff>637694</xdr:colOff>
      <xdr:row>1</xdr:row>
      <xdr:rowOff>0</xdr:rowOff>
    </xdr:from>
    <xdr:to>
      <xdr:col>17</xdr:col>
      <xdr:colOff>529697</xdr:colOff>
      <xdr:row>2</xdr:row>
      <xdr:rowOff>46930</xdr:rowOff>
    </xdr:to>
    <xdr:sp macro="" textlink="">
      <xdr:nvSpPr>
        <xdr:cNvPr id="11" name="Rectangle: Rounded Corners 10">
          <a:hlinkClick xmlns:r="http://schemas.openxmlformats.org/officeDocument/2006/relationships" r:id="rId8"/>
          <a:extLst>
            <a:ext uri="{FF2B5EF4-FFF2-40B4-BE49-F238E27FC236}">
              <a16:creationId xmlns:a16="http://schemas.microsoft.com/office/drawing/2014/main" id="{20D2D7C9-26EA-4891-82D9-64687AEDE445}"/>
            </a:ext>
          </a:extLst>
        </xdr:cNvPr>
        <xdr:cNvSpPr/>
      </xdr:nvSpPr>
      <xdr:spPr>
        <a:xfrm>
          <a:off x="9688767" y="185854"/>
          <a:ext cx="830564" cy="232783"/>
        </a:xfrm>
        <a:prstGeom prst="roundRect">
          <a:avLst/>
        </a:prstGeom>
        <a:solidFill>
          <a:schemeClr val="accent1">
            <a:lumMod val="75000"/>
          </a:schemeClr>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Ratio Analysis</a:t>
          </a:r>
        </a:p>
      </xdr:txBody>
    </xdr:sp>
    <xdr:clientData/>
  </xdr:twoCellAnchor>
  <xdr:twoCellAnchor>
    <xdr:from>
      <xdr:col>17</xdr:col>
      <xdr:colOff>556936</xdr:colOff>
      <xdr:row>1</xdr:row>
      <xdr:rowOff>0</xdr:rowOff>
    </xdr:from>
    <xdr:to>
      <xdr:col>18</xdr:col>
      <xdr:colOff>765700</xdr:colOff>
      <xdr:row>2</xdr:row>
      <xdr:rowOff>46930</xdr:rowOff>
    </xdr:to>
    <xdr:sp macro="" textlink="">
      <xdr:nvSpPr>
        <xdr:cNvPr id="12" name="Rectangle: Rounded Corners 11">
          <a:hlinkClick xmlns:r="http://schemas.openxmlformats.org/officeDocument/2006/relationships" r:id="rId9"/>
          <a:extLst>
            <a:ext uri="{FF2B5EF4-FFF2-40B4-BE49-F238E27FC236}">
              <a16:creationId xmlns:a16="http://schemas.microsoft.com/office/drawing/2014/main" id="{0F501FE1-CD28-4D9B-A94E-2A94209C45EC}"/>
            </a:ext>
          </a:extLst>
        </xdr:cNvPr>
        <xdr:cNvSpPr/>
      </xdr:nvSpPr>
      <xdr:spPr>
        <a:xfrm>
          <a:off x="10546570" y="185854"/>
          <a:ext cx="1230959"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Common-Size Analysis</a:t>
          </a:r>
        </a:p>
      </xdr:txBody>
    </xdr:sp>
    <xdr:clientData/>
  </xdr:twoCellAnchor>
  <xdr:twoCellAnchor>
    <xdr:from>
      <xdr:col>18</xdr:col>
      <xdr:colOff>792937</xdr:colOff>
      <xdr:row>1</xdr:row>
      <xdr:rowOff>1594</xdr:rowOff>
    </xdr:from>
    <xdr:to>
      <xdr:col>20</xdr:col>
      <xdr:colOff>276200</xdr:colOff>
      <xdr:row>2</xdr:row>
      <xdr:rowOff>48935</xdr:rowOff>
    </xdr:to>
    <xdr:sp macro="" textlink="">
      <xdr:nvSpPr>
        <xdr:cNvPr id="13" name="Rectangle: Rounded Corners 12">
          <a:hlinkClick xmlns:r="http://schemas.openxmlformats.org/officeDocument/2006/relationships" r:id="rId10"/>
          <a:extLst>
            <a:ext uri="{FF2B5EF4-FFF2-40B4-BE49-F238E27FC236}">
              <a16:creationId xmlns:a16="http://schemas.microsoft.com/office/drawing/2014/main" id="{211871A6-0C02-424F-81B0-480D2B9664AC}"/>
            </a:ext>
          </a:extLst>
        </xdr:cNvPr>
        <xdr:cNvSpPr/>
      </xdr:nvSpPr>
      <xdr:spPr>
        <a:xfrm>
          <a:off x="11804766" y="187448"/>
          <a:ext cx="1174532" cy="23319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Comparative</a:t>
          </a:r>
          <a:r>
            <a:rPr lang="en-IN" sz="900" b="1" baseline="0">
              <a:latin typeface="+mj-lt"/>
              <a:cs typeface="Segoe UI" panose="020B0502040204020203" pitchFamily="34" charset="0"/>
            </a:rPr>
            <a:t> Analysis</a:t>
          </a:r>
          <a:endParaRPr lang="en-IN" sz="900" b="1">
            <a:latin typeface="+mj-lt"/>
            <a:cs typeface="Segoe UI" panose="020B0502040204020203" pitchFamily="34" charset="0"/>
          </a:endParaRPr>
        </a:p>
      </xdr:txBody>
    </xdr:sp>
    <xdr:clientData/>
  </xdr:twoCellAnchor>
  <xdr:twoCellAnchor>
    <xdr:from>
      <xdr:col>11</xdr:col>
      <xdr:colOff>0</xdr:colOff>
      <xdr:row>1</xdr:row>
      <xdr:rowOff>0</xdr:rowOff>
    </xdr:from>
    <xdr:to>
      <xdr:col>11</xdr:col>
      <xdr:colOff>698436</xdr:colOff>
      <xdr:row>2</xdr:row>
      <xdr:rowOff>46931</xdr:rowOff>
    </xdr:to>
    <xdr:sp macro="" textlink="">
      <xdr:nvSpPr>
        <xdr:cNvPr id="14" name="Rectangle: Rounded Corners 13">
          <a:hlinkClick xmlns:r="http://schemas.openxmlformats.org/officeDocument/2006/relationships" r:id="rId11"/>
          <a:extLst>
            <a:ext uri="{FF2B5EF4-FFF2-40B4-BE49-F238E27FC236}">
              <a16:creationId xmlns:a16="http://schemas.microsoft.com/office/drawing/2014/main" id="{A786ABE7-D9C7-4AFA-A411-05C7FDD8DF55}"/>
            </a:ext>
          </a:extLst>
        </xdr:cNvPr>
        <xdr:cNvSpPr/>
      </xdr:nvSpPr>
      <xdr:spPr>
        <a:xfrm>
          <a:off x="4841488" y="185854"/>
          <a:ext cx="698436" cy="23278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Dashboard</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0</xdr:colOff>
      <xdr:row>25</xdr:row>
      <xdr:rowOff>0</xdr:rowOff>
    </xdr:from>
    <xdr:to>
      <xdr:col>5</xdr:col>
      <xdr:colOff>107063</xdr:colOff>
      <xdr:row>26</xdr:row>
      <xdr:rowOff>121922</xdr:rowOff>
    </xdr:to>
    <xdr:sp macro="" textlink="">
      <xdr:nvSpPr>
        <xdr:cNvPr id="2" name="AutoShape 2" descr="asian paints colour ideas - TikTok Shop">
          <a:extLst>
            <a:ext uri="{FF2B5EF4-FFF2-40B4-BE49-F238E27FC236}">
              <a16:creationId xmlns:a16="http://schemas.microsoft.com/office/drawing/2014/main" id="{79CD3277-C96F-4293-A53F-3062A675F398}"/>
            </a:ext>
          </a:extLst>
        </xdr:cNvPr>
        <xdr:cNvSpPr>
          <a:spLocks noChangeAspect="1" noChangeArrowheads="1"/>
        </xdr:cNvSpPr>
      </xdr:nvSpPr>
      <xdr:spPr bwMode="auto">
        <a:xfrm>
          <a:off x="906780" y="4709160"/>
          <a:ext cx="305846"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8561</xdr:colOff>
      <xdr:row>0</xdr:row>
      <xdr:rowOff>94035</xdr:rowOff>
    </xdr:from>
    <xdr:to>
      <xdr:col>2</xdr:col>
      <xdr:colOff>378892</xdr:colOff>
      <xdr:row>4</xdr:row>
      <xdr:rowOff>173935</xdr:rowOff>
    </xdr:to>
    <xdr:pic>
      <xdr:nvPicPr>
        <xdr:cNvPr id="3" name="Picture 2">
          <a:extLst>
            <a:ext uri="{FF2B5EF4-FFF2-40B4-BE49-F238E27FC236}">
              <a16:creationId xmlns:a16="http://schemas.microsoft.com/office/drawing/2014/main" id="{75729404-9DAC-4D27-86EB-8470A2DE5ABF}"/>
            </a:ext>
          </a:extLst>
        </xdr:cNvPr>
        <xdr:cNvPicPr>
          <a:picLocks noChangeAspect="1"/>
        </xdr:cNvPicPr>
      </xdr:nvPicPr>
      <xdr:blipFill>
        <a:blip xmlns:r="http://schemas.openxmlformats.org/officeDocument/2006/relationships" r:embed="rId1"/>
        <a:stretch>
          <a:fillRect/>
        </a:stretch>
      </xdr:blipFill>
      <xdr:spPr>
        <a:xfrm>
          <a:off x="621474" y="94035"/>
          <a:ext cx="983244" cy="858465"/>
        </a:xfrm>
        <a:prstGeom prst="rect">
          <a:avLst/>
        </a:prstGeom>
      </xdr:spPr>
    </xdr:pic>
    <xdr:clientData/>
  </xdr:twoCellAnchor>
  <xdr:oneCellAnchor>
    <xdr:from>
      <xdr:col>4</xdr:col>
      <xdr:colOff>0</xdr:colOff>
      <xdr:row>25</xdr:row>
      <xdr:rowOff>0</xdr:rowOff>
    </xdr:from>
    <xdr:ext cx="306934" cy="298814"/>
    <xdr:sp macro="" textlink="">
      <xdr:nvSpPr>
        <xdr:cNvPr id="4" name="AutoShape 2" descr="asian paints colour ideas - TikTok Shop">
          <a:extLst>
            <a:ext uri="{FF2B5EF4-FFF2-40B4-BE49-F238E27FC236}">
              <a16:creationId xmlns:a16="http://schemas.microsoft.com/office/drawing/2014/main" id="{42EC7098-5DAB-42FE-B6B9-09A5002DF53F}"/>
            </a:ext>
          </a:extLst>
        </xdr:cNvPr>
        <xdr:cNvSpPr>
          <a:spLocks noChangeAspect="1" noChangeArrowheads="1"/>
        </xdr:cNvSpPr>
      </xdr:nvSpPr>
      <xdr:spPr bwMode="auto">
        <a:xfrm>
          <a:off x="906780" y="4709160"/>
          <a:ext cx="306934" cy="2988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7</xdr:col>
      <xdr:colOff>0</xdr:colOff>
      <xdr:row>35</xdr:row>
      <xdr:rowOff>0</xdr:rowOff>
    </xdr:from>
    <xdr:to>
      <xdr:col>7</xdr:col>
      <xdr:colOff>304800</xdr:colOff>
      <xdr:row>37</xdr:row>
      <xdr:rowOff>55370</xdr:rowOff>
    </xdr:to>
    <xdr:sp macro="" textlink="">
      <xdr:nvSpPr>
        <xdr:cNvPr id="5" name="AutoShape 2" descr="asian paints colour ideas - TikTok Shop">
          <a:extLst>
            <a:ext uri="{FF2B5EF4-FFF2-40B4-BE49-F238E27FC236}">
              <a16:creationId xmlns:a16="http://schemas.microsoft.com/office/drawing/2014/main" id="{6499649D-0DF8-47ED-9DC2-A969229477D3}"/>
            </a:ext>
          </a:extLst>
        </xdr:cNvPr>
        <xdr:cNvSpPr>
          <a:spLocks noChangeAspect="1" noChangeArrowheads="1"/>
        </xdr:cNvSpPr>
      </xdr:nvSpPr>
      <xdr:spPr bwMode="auto">
        <a:xfrm>
          <a:off x="2255520" y="1668780"/>
          <a:ext cx="304800" cy="29612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35</xdr:row>
      <xdr:rowOff>0</xdr:rowOff>
    </xdr:from>
    <xdr:to>
      <xdr:col>7</xdr:col>
      <xdr:colOff>304800</xdr:colOff>
      <xdr:row>37</xdr:row>
      <xdr:rowOff>55370</xdr:rowOff>
    </xdr:to>
    <xdr:sp macro="" textlink="">
      <xdr:nvSpPr>
        <xdr:cNvPr id="6" name="AutoShape 3" descr="asian paints colour ideas - TikTok Shop">
          <a:extLst>
            <a:ext uri="{FF2B5EF4-FFF2-40B4-BE49-F238E27FC236}">
              <a16:creationId xmlns:a16="http://schemas.microsoft.com/office/drawing/2014/main" id="{7EB05652-F433-40D9-9F66-AF29DBF93A02}"/>
            </a:ext>
          </a:extLst>
        </xdr:cNvPr>
        <xdr:cNvSpPr>
          <a:spLocks noChangeAspect="1" noChangeArrowheads="1"/>
        </xdr:cNvSpPr>
      </xdr:nvSpPr>
      <xdr:spPr bwMode="auto">
        <a:xfrm>
          <a:off x="2255520" y="1668780"/>
          <a:ext cx="304800" cy="29612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35</xdr:row>
      <xdr:rowOff>0</xdr:rowOff>
    </xdr:from>
    <xdr:to>
      <xdr:col>7</xdr:col>
      <xdr:colOff>304800</xdr:colOff>
      <xdr:row>37</xdr:row>
      <xdr:rowOff>55370</xdr:rowOff>
    </xdr:to>
    <xdr:sp macro="" textlink="">
      <xdr:nvSpPr>
        <xdr:cNvPr id="7" name="AutoShape 4" descr="asian paints colour ideas - TikTok Shop">
          <a:extLst>
            <a:ext uri="{FF2B5EF4-FFF2-40B4-BE49-F238E27FC236}">
              <a16:creationId xmlns:a16="http://schemas.microsoft.com/office/drawing/2014/main" id="{3AE83B85-87D1-4444-87B1-057BA5ACA896}"/>
            </a:ext>
          </a:extLst>
        </xdr:cNvPr>
        <xdr:cNvSpPr>
          <a:spLocks noChangeAspect="1" noChangeArrowheads="1"/>
        </xdr:cNvSpPr>
      </xdr:nvSpPr>
      <xdr:spPr bwMode="auto">
        <a:xfrm>
          <a:off x="2255520" y="1668780"/>
          <a:ext cx="304800" cy="29612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55</xdr:row>
      <xdr:rowOff>0</xdr:rowOff>
    </xdr:from>
    <xdr:to>
      <xdr:col>5</xdr:col>
      <xdr:colOff>107726</xdr:colOff>
      <xdr:row>56</xdr:row>
      <xdr:rowOff>121920</xdr:rowOff>
    </xdr:to>
    <xdr:sp macro="" textlink="">
      <xdr:nvSpPr>
        <xdr:cNvPr id="8" name="AutoShape 2" descr="asian paints colour ideas - TikTok Shop">
          <a:extLst>
            <a:ext uri="{FF2B5EF4-FFF2-40B4-BE49-F238E27FC236}">
              <a16:creationId xmlns:a16="http://schemas.microsoft.com/office/drawing/2014/main" id="{0A32939A-0BF1-4078-8A22-E4B137CB5437}"/>
            </a:ext>
          </a:extLst>
        </xdr:cNvPr>
        <xdr:cNvSpPr>
          <a:spLocks noChangeAspect="1" noChangeArrowheads="1"/>
        </xdr:cNvSpPr>
      </xdr:nvSpPr>
      <xdr:spPr bwMode="auto">
        <a:xfrm>
          <a:off x="960120" y="5295900"/>
          <a:ext cx="305846"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10</xdr:col>
      <xdr:colOff>725675</xdr:colOff>
      <xdr:row>1</xdr:row>
      <xdr:rowOff>0</xdr:rowOff>
    </xdr:from>
    <xdr:to>
      <xdr:col>11</xdr:col>
      <xdr:colOff>794822</xdr:colOff>
      <xdr:row>2</xdr:row>
      <xdr:rowOff>53744</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4C30FC5E-9EC6-4607-8CC2-CA46A99FC685}"/>
            </a:ext>
          </a:extLst>
        </xdr:cNvPr>
        <xdr:cNvSpPr/>
      </xdr:nvSpPr>
      <xdr:spPr>
        <a:xfrm>
          <a:off x="5733104" y="178130"/>
          <a:ext cx="949900" cy="23187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Valuation-FCFF</a:t>
          </a:r>
        </a:p>
      </xdr:txBody>
    </xdr:sp>
    <xdr:clientData/>
  </xdr:twoCellAnchor>
  <xdr:twoCellAnchor>
    <xdr:from>
      <xdr:col>11</xdr:col>
      <xdr:colOff>822061</xdr:colOff>
      <xdr:row>1</xdr:row>
      <xdr:rowOff>0</xdr:rowOff>
    </xdr:from>
    <xdr:to>
      <xdr:col>13</xdr:col>
      <xdr:colOff>111904</xdr:colOff>
      <xdr:row>2</xdr:row>
      <xdr:rowOff>53744</xdr:rowOff>
    </xdr:to>
    <xdr:sp macro="" textlink="">
      <xdr:nvSpPr>
        <xdr:cNvPr id="10" name="Rectangle: Rounded Corners 9">
          <a:hlinkClick xmlns:r="http://schemas.openxmlformats.org/officeDocument/2006/relationships" r:id="rId3"/>
          <a:extLst>
            <a:ext uri="{FF2B5EF4-FFF2-40B4-BE49-F238E27FC236}">
              <a16:creationId xmlns:a16="http://schemas.microsoft.com/office/drawing/2014/main" id="{65B8F2F7-1B59-4455-B14D-0A61B3B2867E}"/>
            </a:ext>
          </a:extLst>
        </xdr:cNvPr>
        <xdr:cNvSpPr/>
      </xdr:nvSpPr>
      <xdr:spPr>
        <a:xfrm>
          <a:off x="6710243" y="178130"/>
          <a:ext cx="1051349" cy="23187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Sensitivity Analysis</a:t>
          </a:r>
        </a:p>
      </xdr:txBody>
    </xdr:sp>
    <xdr:clientData/>
  </xdr:twoCellAnchor>
  <xdr:twoCellAnchor>
    <xdr:from>
      <xdr:col>13</xdr:col>
      <xdr:colOff>139143</xdr:colOff>
      <xdr:row>1</xdr:row>
      <xdr:rowOff>0</xdr:rowOff>
    </xdr:from>
    <xdr:to>
      <xdr:col>13</xdr:col>
      <xdr:colOff>588397</xdr:colOff>
      <xdr:row>2</xdr:row>
      <xdr:rowOff>54653</xdr:rowOff>
    </xdr:to>
    <xdr:sp macro="" textlink="">
      <xdr:nvSpPr>
        <xdr:cNvPr id="11" name="Rectangle: Rounded Corners 10">
          <a:hlinkClick xmlns:r="http://schemas.openxmlformats.org/officeDocument/2006/relationships" r:id="rId4"/>
          <a:extLst>
            <a:ext uri="{FF2B5EF4-FFF2-40B4-BE49-F238E27FC236}">
              <a16:creationId xmlns:a16="http://schemas.microsoft.com/office/drawing/2014/main" id="{B4D2FB46-DC17-48BC-97FD-EBFAB233EE93}"/>
            </a:ext>
          </a:extLst>
        </xdr:cNvPr>
        <xdr:cNvSpPr/>
      </xdr:nvSpPr>
      <xdr:spPr>
        <a:xfrm>
          <a:off x="7788831" y="178130"/>
          <a:ext cx="449254"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SOFP</a:t>
          </a:r>
        </a:p>
      </xdr:txBody>
    </xdr:sp>
    <xdr:clientData/>
  </xdr:twoCellAnchor>
  <xdr:twoCellAnchor>
    <xdr:from>
      <xdr:col>13</xdr:col>
      <xdr:colOff>616973</xdr:colOff>
      <xdr:row>1</xdr:row>
      <xdr:rowOff>0</xdr:rowOff>
    </xdr:from>
    <xdr:to>
      <xdr:col>14</xdr:col>
      <xdr:colOff>173072</xdr:colOff>
      <xdr:row>2</xdr:row>
      <xdr:rowOff>54653</xdr:rowOff>
    </xdr:to>
    <xdr:sp macro="" textlink="">
      <xdr:nvSpPr>
        <xdr:cNvPr id="12" name="Rectangle: Rounded Corners 11">
          <a:hlinkClick xmlns:r="http://schemas.openxmlformats.org/officeDocument/2006/relationships" r:id="rId5"/>
          <a:extLst>
            <a:ext uri="{FF2B5EF4-FFF2-40B4-BE49-F238E27FC236}">
              <a16:creationId xmlns:a16="http://schemas.microsoft.com/office/drawing/2014/main" id="{085C2F37-190F-4663-81F0-42C2542F0AE0}"/>
            </a:ext>
          </a:extLst>
        </xdr:cNvPr>
        <xdr:cNvSpPr/>
      </xdr:nvSpPr>
      <xdr:spPr>
        <a:xfrm>
          <a:off x="8266661" y="178130"/>
          <a:ext cx="436853"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SOPL</a:t>
          </a:r>
        </a:p>
      </xdr:txBody>
    </xdr:sp>
    <xdr:clientData/>
  </xdr:twoCellAnchor>
  <xdr:twoCellAnchor>
    <xdr:from>
      <xdr:col>14</xdr:col>
      <xdr:colOff>200311</xdr:colOff>
      <xdr:row>1</xdr:row>
      <xdr:rowOff>0</xdr:rowOff>
    </xdr:from>
    <xdr:to>
      <xdr:col>14</xdr:col>
      <xdr:colOff>648428</xdr:colOff>
      <xdr:row>2</xdr:row>
      <xdr:rowOff>54653</xdr:rowOff>
    </xdr:to>
    <xdr:sp macro="" textlink="">
      <xdr:nvSpPr>
        <xdr:cNvPr id="13" name="Rectangle: Rounded Corners 12">
          <a:hlinkClick xmlns:r="http://schemas.openxmlformats.org/officeDocument/2006/relationships" r:id="rId6"/>
          <a:extLst>
            <a:ext uri="{FF2B5EF4-FFF2-40B4-BE49-F238E27FC236}">
              <a16:creationId xmlns:a16="http://schemas.microsoft.com/office/drawing/2014/main" id="{C3A8489F-B3B3-4042-A6DA-7BD3AAAC9027}"/>
            </a:ext>
          </a:extLst>
        </xdr:cNvPr>
        <xdr:cNvSpPr/>
      </xdr:nvSpPr>
      <xdr:spPr>
        <a:xfrm>
          <a:off x="8730753" y="178130"/>
          <a:ext cx="448117"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SOCF</a:t>
          </a:r>
        </a:p>
      </xdr:txBody>
    </xdr:sp>
    <xdr:clientData/>
  </xdr:twoCellAnchor>
  <xdr:twoCellAnchor>
    <xdr:from>
      <xdr:col>14</xdr:col>
      <xdr:colOff>675667</xdr:colOff>
      <xdr:row>1</xdr:row>
      <xdr:rowOff>0</xdr:rowOff>
    </xdr:from>
    <xdr:to>
      <xdr:col>15</xdr:col>
      <xdr:colOff>416274</xdr:colOff>
      <xdr:row>2</xdr:row>
      <xdr:rowOff>54653</xdr:rowOff>
    </xdr:to>
    <xdr:sp macro="" textlink="">
      <xdr:nvSpPr>
        <xdr:cNvPr id="14" name="Rectangle: Rounded Corners 13">
          <a:hlinkClick xmlns:r="http://schemas.openxmlformats.org/officeDocument/2006/relationships" r:id="rId7"/>
          <a:extLst>
            <a:ext uri="{FF2B5EF4-FFF2-40B4-BE49-F238E27FC236}">
              <a16:creationId xmlns:a16="http://schemas.microsoft.com/office/drawing/2014/main" id="{5FAAD683-0BEC-42A7-A41B-EEC9D4644803}"/>
            </a:ext>
          </a:extLst>
        </xdr:cNvPr>
        <xdr:cNvSpPr/>
      </xdr:nvSpPr>
      <xdr:spPr>
        <a:xfrm>
          <a:off x="9206109" y="178130"/>
          <a:ext cx="621360"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Schedule</a:t>
          </a:r>
        </a:p>
      </xdr:txBody>
    </xdr:sp>
    <xdr:clientData/>
  </xdr:twoCellAnchor>
  <xdr:twoCellAnchor>
    <xdr:from>
      <xdr:col>15</xdr:col>
      <xdr:colOff>443513</xdr:colOff>
      <xdr:row>1</xdr:row>
      <xdr:rowOff>0</xdr:rowOff>
    </xdr:from>
    <xdr:to>
      <xdr:col>16</xdr:col>
      <xdr:colOff>393324</xdr:colOff>
      <xdr:row>2</xdr:row>
      <xdr:rowOff>54653</xdr:rowOff>
    </xdr:to>
    <xdr:sp macro="" textlink="">
      <xdr:nvSpPr>
        <xdr:cNvPr id="15" name="Rectangle: Rounded Corners 14">
          <a:hlinkClick xmlns:r="http://schemas.openxmlformats.org/officeDocument/2006/relationships" r:id="rId8"/>
          <a:extLst>
            <a:ext uri="{FF2B5EF4-FFF2-40B4-BE49-F238E27FC236}">
              <a16:creationId xmlns:a16="http://schemas.microsoft.com/office/drawing/2014/main" id="{F20FCC02-55B7-4B12-9F98-30D5C978A4CE}"/>
            </a:ext>
          </a:extLst>
        </xdr:cNvPr>
        <xdr:cNvSpPr/>
      </xdr:nvSpPr>
      <xdr:spPr>
        <a:xfrm>
          <a:off x="9854708" y="178130"/>
          <a:ext cx="830564"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Ratio Analysis</a:t>
          </a:r>
        </a:p>
      </xdr:txBody>
    </xdr:sp>
    <xdr:clientData/>
  </xdr:twoCellAnchor>
  <xdr:twoCellAnchor>
    <xdr:from>
      <xdr:col>16</xdr:col>
      <xdr:colOff>420563</xdr:colOff>
      <xdr:row>1</xdr:row>
      <xdr:rowOff>0</xdr:rowOff>
    </xdr:from>
    <xdr:to>
      <xdr:col>17</xdr:col>
      <xdr:colOff>770769</xdr:colOff>
      <xdr:row>2</xdr:row>
      <xdr:rowOff>54653</xdr:rowOff>
    </xdr:to>
    <xdr:sp macro="" textlink="">
      <xdr:nvSpPr>
        <xdr:cNvPr id="16" name="Rectangle: Rounded Corners 15">
          <a:hlinkClick xmlns:r="http://schemas.openxmlformats.org/officeDocument/2006/relationships" r:id="rId9"/>
          <a:extLst>
            <a:ext uri="{FF2B5EF4-FFF2-40B4-BE49-F238E27FC236}">
              <a16:creationId xmlns:a16="http://schemas.microsoft.com/office/drawing/2014/main" id="{12B7D4C3-67D3-4572-9176-0762CA728EC4}"/>
            </a:ext>
          </a:extLst>
        </xdr:cNvPr>
        <xdr:cNvSpPr/>
      </xdr:nvSpPr>
      <xdr:spPr>
        <a:xfrm>
          <a:off x="10712511" y="178130"/>
          <a:ext cx="1230959" cy="232783"/>
        </a:xfrm>
        <a:prstGeom prst="roundRect">
          <a:avLst/>
        </a:prstGeom>
        <a:solidFill>
          <a:schemeClr val="accent1">
            <a:lumMod val="75000"/>
          </a:schemeClr>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Common-Size Analysis</a:t>
          </a:r>
        </a:p>
      </xdr:txBody>
    </xdr:sp>
    <xdr:clientData/>
  </xdr:twoCellAnchor>
  <xdr:twoCellAnchor>
    <xdr:from>
      <xdr:col>17</xdr:col>
      <xdr:colOff>798006</xdr:colOff>
      <xdr:row>1</xdr:row>
      <xdr:rowOff>1594</xdr:rowOff>
    </xdr:from>
    <xdr:to>
      <xdr:col>19</xdr:col>
      <xdr:colOff>211031</xdr:colOff>
      <xdr:row>2</xdr:row>
      <xdr:rowOff>56658</xdr:rowOff>
    </xdr:to>
    <xdr:sp macro="" textlink="">
      <xdr:nvSpPr>
        <xdr:cNvPr id="17" name="Rectangle: Rounded Corners 16">
          <a:hlinkClick xmlns:r="http://schemas.openxmlformats.org/officeDocument/2006/relationships" r:id="rId10"/>
          <a:extLst>
            <a:ext uri="{FF2B5EF4-FFF2-40B4-BE49-F238E27FC236}">
              <a16:creationId xmlns:a16="http://schemas.microsoft.com/office/drawing/2014/main" id="{392BFD15-2F88-457C-97E9-5DACB78F5CA3}"/>
            </a:ext>
          </a:extLst>
        </xdr:cNvPr>
        <xdr:cNvSpPr/>
      </xdr:nvSpPr>
      <xdr:spPr>
        <a:xfrm>
          <a:off x="11970707" y="179724"/>
          <a:ext cx="1174532" cy="23319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Comparative</a:t>
          </a:r>
          <a:r>
            <a:rPr lang="en-IN" sz="900" b="1" baseline="0">
              <a:latin typeface="+mj-lt"/>
              <a:cs typeface="Segoe UI" panose="020B0502040204020203" pitchFamily="34" charset="0"/>
            </a:rPr>
            <a:t> Analysis</a:t>
          </a:r>
          <a:endParaRPr lang="en-IN" sz="900" b="1">
            <a:latin typeface="+mj-lt"/>
            <a:cs typeface="Segoe UI" panose="020B0502040204020203" pitchFamily="34" charset="0"/>
          </a:endParaRPr>
        </a:p>
      </xdr:txBody>
    </xdr:sp>
    <xdr:clientData/>
  </xdr:twoCellAnchor>
  <xdr:twoCellAnchor>
    <xdr:from>
      <xdr:col>10</xdr:col>
      <xdr:colOff>0</xdr:colOff>
      <xdr:row>1</xdr:row>
      <xdr:rowOff>0</xdr:rowOff>
    </xdr:from>
    <xdr:to>
      <xdr:col>10</xdr:col>
      <xdr:colOff>698436</xdr:colOff>
      <xdr:row>2</xdr:row>
      <xdr:rowOff>54654</xdr:rowOff>
    </xdr:to>
    <xdr:sp macro="" textlink="">
      <xdr:nvSpPr>
        <xdr:cNvPr id="18" name="Rectangle: Rounded Corners 17">
          <a:hlinkClick xmlns:r="http://schemas.openxmlformats.org/officeDocument/2006/relationships" r:id="rId11"/>
          <a:extLst>
            <a:ext uri="{FF2B5EF4-FFF2-40B4-BE49-F238E27FC236}">
              <a16:creationId xmlns:a16="http://schemas.microsoft.com/office/drawing/2014/main" id="{ECFEF7B4-9037-477B-8269-A3AB2A41DFB4}"/>
            </a:ext>
          </a:extLst>
        </xdr:cNvPr>
        <xdr:cNvSpPr/>
      </xdr:nvSpPr>
      <xdr:spPr>
        <a:xfrm>
          <a:off x="5007429" y="178130"/>
          <a:ext cx="698436" cy="23278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Dashboard</a:t>
          </a: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0</xdr:colOff>
      <xdr:row>25</xdr:row>
      <xdr:rowOff>0</xdr:rowOff>
    </xdr:from>
    <xdr:to>
      <xdr:col>5</xdr:col>
      <xdr:colOff>175643</xdr:colOff>
      <xdr:row>26</xdr:row>
      <xdr:rowOff>121922</xdr:rowOff>
    </xdr:to>
    <xdr:sp macro="" textlink="">
      <xdr:nvSpPr>
        <xdr:cNvPr id="2" name="AutoShape 2" descr="asian paints colour ideas - TikTok Shop">
          <a:extLst>
            <a:ext uri="{FF2B5EF4-FFF2-40B4-BE49-F238E27FC236}">
              <a16:creationId xmlns:a16="http://schemas.microsoft.com/office/drawing/2014/main" id="{2E5E7151-3490-410E-A5B0-744758BFF28F}"/>
            </a:ext>
          </a:extLst>
        </xdr:cNvPr>
        <xdr:cNvSpPr>
          <a:spLocks noChangeAspect="1" noChangeArrowheads="1"/>
        </xdr:cNvSpPr>
      </xdr:nvSpPr>
      <xdr:spPr bwMode="auto">
        <a:xfrm>
          <a:off x="1615440" y="4663440"/>
          <a:ext cx="305183" cy="30480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8561</xdr:colOff>
      <xdr:row>0</xdr:row>
      <xdr:rowOff>94035</xdr:rowOff>
    </xdr:from>
    <xdr:to>
      <xdr:col>2</xdr:col>
      <xdr:colOff>378892</xdr:colOff>
      <xdr:row>4</xdr:row>
      <xdr:rowOff>182880</xdr:rowOff>
    </xdr:to>
    <xdr:pic>
      <xdr:nvPicPr>
        <xdr:cNvPr id="3" name="Picture 2">
          <a:extLst>
            <a:ext uri="{FF2B5EF4-FFF2-40B4-BE49-F238E27FC236}">
              <a16:creationId xmlns:a16="http://schemas.microsoft.com/office/drawing/2014/main" id="{81F3FD63-A1F9-4D4C-B4BC-8AF484F2D4E2}"/>
            </a:ext>
          </a:extLst>
        </xdr:cNvPr>
        <xdr:cNvPicPr>
          <a:picLocks noChangeAspect="1"/>
        </xdr:cNvPicPr>
      </xdr:nvPicPr>
      <xdr:blipFill>
        <a:blip xmlns:r="http://schemas.openxmlformats.org/officeDocument/2006/relationships" r:embed="rId1"/>
        <a:stretch>
          <a:fillRect/>
        </a:stretch>
      </xdr:blipFill>
      <xdr:spPr>
        <a:xfrm>
          <a:off x="206681" y="94035"/>
          <a:ext cx="979931" cy="866085"/>
        </a:xfrm>
        <a:prstGeom prst="rect">
          <a:avLst/>
        </a:prstGeom>
      </xdr:spPr>
    </xdr:pic>
    <xdr:clientData/>
  </xdr:twoCellAnchor>
  <xdr:oneCellAnchor>
    <xdr:from>
      <xdr:col>4</xdr:col>
      <xdr:colOff>0</xdr:colOff>
      <xdr:row>25</xdr:row>
      <xdr:rowOff>0</xdr:rowOff>
    </xdr:from>
    <xdr:ext cx="306934" cy="298814"/>
    <xdr:sp macro="" textlink="">
      <xdr:nvSpPr>
        <xdr:cNvPr id="4" name="AutoShape 2" descr="asian paints colour ideas - TikTok Shop">
          <a:extLst>
            <a:ext uri="{FF2B5EF4-FFF2-40B4-BE49-F238E27FC236}">
              <a16:creationId xmlns:a16="http://schemas.microsoft.com/office/drawing/2014/main" id="{F1DD70DE-0E90-47B4-A21D-BA8416155621}"/>
            </a:ext>
          </a:extLst>
        </xdr:cNvPr>
        <xdr:cNvSpPr>
          <a:spLocks noChangeAspect="1" noChangeArrowheads="1"/>
        </xdr:cNvSpPr>
      </xdr:nvSpPr>
      <xdr:spPr bwMode="auto">
        <a:xfrm>
          <a:off x="1615440" y="4663440"/>
          <a:ext cx="306934" cy="2988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7</xdr:col>
      <xdr:colOff>0</xdr:colOff>
      <xdr:row>35</xdr:row>
      <xdr:rowOff>0</xdr:rowOff>
    </xdr:from>
    <xdr:to>
      <xdr:col>7</xdr:col>
      <xdr:colOff>304800</xdr:colOff>
      <xdr:row>37</xdr:row>
      <xdr:rowOff>70610</xdr:rowOff>
    </xdr:to>
    <xdr:sp macro="" textlink="">
      <xdr:nvSpPr>
        <xdr:cNvPr id="5" name="AutoShape 2" descr="asian paints colour ideas - TikTok Shop">
          <a:extLst>
            <a:ext uri="{FF2B5EF4-FFF2-40B4-BE49-F238E27FC236}">
              <a16:creationId xmlns:a16="http://schemas.microsoft.com/office/drawing/2014/main" id="{6F69B5BF-0344-44FB-933F-A7DBE4366506}"/>
            </a:ext>
          </a:extLst>
        </xdr:cNvPr>
        <xdr:cNvSpPr>
          <a:spLocks noChangeAspect="1" noChangeArrowheads="1"/>
        </xdr:cNvSpPr>
      </xdr:nvSpPr>
      <xdr:spPr bwMode="auto">
        <a:xfrm>
          <a:off x="2621280" y="6614160"/>
          <a:ext cx="304800" cy="3220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35</xdr:row>
      <xdr:rowOff>0</xdr:rowOff>
    </xdr:from>
    <xdr:to>
      <xdr:col>7</xdr:col>
      <xdr:colOff>304800</xdr:colOff>
      <xdr:row>37</xdr:row>
      <xdr:rowOff>70610</xdr:rowOff>
    </xdr:to>
    <xdr:sp macro="" textlink="">
      <xdr:nvSpPr>
        <xdr:cNvPr id="6" name="AutoShape 3" descr="asian paints colour ideas - TikTok Shop">
          <a:extLst>
            <a:ext uri="{FF2B5EF4-FFF2-40B4-BE49-F238E27FC236}">
              <a16:creationId xmlns:a16="http://schemas.microsoft.com/office/drawing/2014/main" id="{4B8EC5E5-1B42-4F11-AAA0-A2DD2A908B5C}"/>
            </a:ext>
          </a:extLst>
        </xdr:cNvPr>
        <xdr:cNvSpPr>
          <a:spLocks noChangeAspect="1" noChangeArrowheads="1"/>
        </xdr:cNvSpPr>
      </xdr:nvSpPr>
      <xdr:spPr bwMode="auto">
        <a:xfrm>
          <a:off x="2621280" y="6614160"/>
          <a:ext cx="304800" cy="3220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35</xdr:row>
      <xdr:rowOff>0</xdr:rowOff>
    </xdr:from>
    <xdr:to>
      <xdr:col>7</xdr:col>
      <xdr:colOff>304800</xdr:colOff>
      <xdr:row>37</xdr:row>
      <xdr:rowOff>70610</xdr:rowOff>
    </xdr:to>
    <xdr:sp macro="" textlink="">
      <xdr:nvSpPr>
        <xdr:cNvPr id="7" name="AutoShape 4" descr="asian paints colour ideas - TikTok Shop">
          <a:extLst>
            <a:ext uri="{FF2B5EF4-FFF2-40B4-BE49-F238E27FC236}">
              <a16:creationId xmlns:a16="http://schemas.microsoft.com/office/drawing/2014/main" id="{0BA8D628-A29D-4932-9F0C-8E806D40C4DC}"/>
            </a:ext>
          </a:extLst>
        </xdr:cNvPr>
        <xdr:cNvSpPr>
          <a:spLocks noChangeAspect="1" noChangeArrowheads="1"/>
        </xdr:cNvSpPr>
      </xdr:nvSpPr>
      <xdr:spPr bwMode="auto">
        <a:xfrm>
          <a:off x="2621280" y="6614160"/>
          <a:ext cx="304800" cy="32207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55</xdr:row>
      <xdr:rowOff>0</xdr:rowOff>
    </xdr:from>
    <xdr:to>
      <xdr:col>5</xdr:col>
      <xdr:colOff>176306</xdr:colOff>
      <xdr:row>56</xdr:row>
      <xdr:rowOff>121920</xdr:rowOff>
    </xdr:to>
    <xdr:sp macro="" textlink="">
      <xdr:nvSpPr>
        <xdr:cNvPr id="8" name="AutoShape 2" descr="asian paints colour ideas - TikTok Shop">
          <a:extLst>
            <a:ext uri="{FF2B5EF4-FFF2-40B4-BE49-F238E27FC236}">
              <a16:creationId xmlns:a16="http://schemas.microsoft.com/office/drawing/2014/main" id="{7E8ECC92-1AC7-4843-B3EA-10F15A1EB868}"/>
            </a:ext>
          </a:extLst>
        </xdr:cNvPr>
        <xdr:cNvSpPr>
          <a:spLocks noChangeAspect="1" noChangeArrowheads="1"/>
        </xdr:cNvSpPr>
      </xdr:nvSpPr>
      <xdr:spPr bwMode="auto">
        <a:xfrm>
          <a:off x="1615440" y="10218420"/>
          <a:ext cx="305846"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10</xdr:col>
      <xdr:colOff>725675</xdr:colOff>
      <xdr:row>1</xdr:row>
      <xdr:rowOff>0</xdr:rowOff>
    </xdr:from>
    <xdr:to>
      <xdr:col>11</xdr:col>
      <xdr:colOff>796344</xdr:colOff>
      <xdr:row>2</xdr:row>
      <xdr:rowOff>46258</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8B8A6A24-BE24-4F98-BF0B-1C345E88E5B6}"/>
            </a:ext>
          </a:extLst>
        </xdr:cNvPr>
        <xdr:cNvSpPr/>
      </xdr:nvSpPr>
      <xdr:spPr>
        <a:xfrm>
          <a:off x="5444213" y="185615"/>
          <a:ext cx="949900" cy="23187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Valuation-FCFF</a:t>
          </a:r>
        </a:p>
      </xdr:txBody>
    </xdr:sp>
    <xdr:clientData/>
  </xdr:twoCellAnchor>
  <xdr:twoCellAnchor>
    <xdr:from>
      <xdr:col>11</xdr:col>
      <xdr:colOff>823583</xdr:colOff>
      <xdr:row>1</xdr:row>
      <xdr:rowOff>0</xdr:rowOff>
    </xdr:from>
    <xdr:to>
      <xdr:col>13</xdr:col>
      <xdr:colOff>116470</xdr:colOff>
      <xdr:row>2</xdr:row>
      <xdr:rowOff>46258</xdr:rowOff>
    </xdr:to>
    <xdr:sp macro="" textlink="">
      <xdr:nvSpPr>
        <xdr:cNvPr id="10" name="Rectangle: Rounded Corners 9">
          <a:hlinkClick xmlns:r="http://schemas.openxmlformats.org/officeDocument/2006/relationships" r:id="rId3"/>
          <a:extLst>
            <a:ext uri="{FF2B5EF4-FFF2-40B4-BE49-F238E27FC236}">
              <a16:creationId xmlns:a16="http://schemas.microsoft.com/office/drawing/2014/main" id="{520CC0A7-B2A6-4C0F-B561-D67C1D78F255}"/>
            </a:ext>
          </a:extLst>
        </xdr:cNvPr>
        <xdr:cNvSpPr/>
      </xdr:nvSpPr>
      <xdr:spPr>
        <a:xfrm>
          <a:off x="6421352" y="185615"/>
          <a:ext cx="1051349" cy="23187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Sensitivity Analysis</a:t>
          </a:r>
        </a:p>
      </xdr:txBody>
    </xdr:sp>
    <xdr:clientData/>
  </xdr:twoCellAnchor>
  <xdr:twoCellAnchor>
    <xdr:from>
      <xdr:col>13</xdr:col>
      <xdr:colOff>143709</xdr:colOff>
      <xdr:row>1</xdr:row>
      <xdr:rowOff>0</xdr:rowOff>
    </xdr:from>
    <xdr:to>
      <xdr:col>13</xdr:col>
      <xdr:colOff>592963</xdr:colOff>
      <xdr:row>2</xdr:row>
      <xdr:rowOff>47167</xdr:rowOff>
    </xdr:to>
    <xdr:sp macro="" textlink="">
      <xdr:nvSpPr>
        <xdr:cNvPr id="11" name="Rectangle: Rounded Corners 10">
          <a:hlinkClick xmlns:r="http://schemas.openxmlformats.org/officeDocument/2006/relationships" r:id="rId4"/>
          <a:extLst>
            <a:ext uri="{FF2B5EF4-FFF2-40B4-BE49-F238E27FC236}">
              <a16:creationId xmlns:a16="http://schemas.microsoft.com/office/drawing/2014/main" id="{6B143C0F-FA9D-43C8-9441-67B072696F9B}"/>
            </a:ext>
          </a:extLst>
        </xdr:cNvPr>
        <xdr:cNvSpPr/>
      </xdr:nvSpPr>
      <xdr:spPr>
        <a:xfrm>
          <a:off x="7499940" y="185615"/>
          <a:ext cx="449254"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SOFP</a:t>
          </a:r>
        </a:p>
      </xdr:txBody>
    </xdr:sp>
    <xdr:clientData/>
  </xdr:twoCellAnchor>
  <xdr:twoCellAnchor>
    <xdr:from>
      <xdr:col>13</xdr:col>
      <xdr:colOff>621539</xdr:colOff>
      <xdr:row>1</xdr:row>
      <xdr:rowOff>0</xdr:rowOff>
    </xdr:from>
    <xdr:to>
      <xdr:col>14</xdr:col>
      <xdr:colOff>179161</xdr:colOff>
      <xdr:row>2</xdr:row>
      <xdr:rowOff>47167</xdr:rowOff>
    </xdr:to>
    <xdr:sp macro="" textlink="">
      <xdr:nvSpPr>
        <xdr:cNvPr id="12" name="Rectangle: Rounded Corners 11">
          <a:hlinkClick xmlns:r="http://schemas.openxmlformats.org/officeDocument/2006/relationships" r:id="rId5"/>
          <a:extLst>
            <a:ext uri="{FF2B5EF4-FFF2-40B4-BE49-F238E27FC236}">
              <a16:creationId xmlns:a16="http://schemas.microsoft.com/office/drawing/2014/main" id="{BB9F23BE-5DDD-4B6F-8B8D-8C7E3D46CB91}"/>
            </a:ext>
          </a:extLst>
        </xdr:cNvPr>
        <xdr:cNvSpPr/>
      </xdr:nvSpPr>
      <xdr:spPr>
        <a:xfrm>
          <a:off x="7977770" y="185615"/>
          <a:ext cx="436853"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SOPL</a:t>
          </a:r>
        </a:p>
      </xdr:txBody>
    </xdr:sp>
    <xdr:clientData/>
  </xdr:twoCellAnchor>
  <xdr:twoCellAnchor>
    <xdr:from>
      <xdr:col>14</xdr:col>
      <xdr:colOff>206400</xdr:colOff>
      <xdr:row>1</xdr:row>
      <xdr:rowOff>0</xdr:rowOff>
    </xdr:from>
    <xdr:to>
      <xdr:col>14</xdr:col>
      <xdr:colOff>654517</xdr:colOff>
      <xdr:row>2</xdr:row>
      <xdr:rowOff>47167</xdr:rowOff>
    </xdr:to>
    <xdr:sp macro="" textlink="">
      <xdr:nvSpPr>
        <xdr:cNvPr id="13" name="Rectangle: Rounded Corners 12">
          <a:hlinkClick xmlns:r="http://schemas.openxmlformats.org/officeDocument/2006/relationships" r:id="rId6"/>
          <a:extLst>
            <a:ext uri="{FF2B5EF4-FFF2-40B4-BE49-F238E27FC236}">
              <a16:creationId xmlns:a16="http://schemas.microsoft.com/office/drawing/2014/main" id="{48D62005-078F-49C4-834A-48CBD8ED93A7}"/>
            </a:ext>
          </a:extLst>
        </xdr:cNvPr>
        <xdr:cNvSpPr/>
      </xdr:nvSpPr>
      <xdr:spPr>
        <a:xfrm>
          <a:off x="8441862" y="185615"/>
          <a:ext cx="448117"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SOCF</a:t>
          </a:r>
        </a:p>
      </xdr:txBody>
    </xdr:sp>
    <xdr:clientData/>
  </xdr:twoCellAnchor>
  <xdr:twoCellAnchor>
    <xdr:from>
      <xdr:col>14</xdr:col>
      <xdr:colOff>681756</xdr:colOff>
      <xdr:row>1</xdr:row>
      <xdr:rowOff>0</xdr:rowOff>
    </xdr:from>
    <xdr:to>
      <xdr:col>15</xdr:col>
      <xdr:colOff>423886</xdr:colOff>
      <xdr:row>2</xdr:row>
      <xdr:rowOff>47167</xdr:rowOff>
    </xdr:to>
    <xdr:sp macro="" textlink="">
      <xdr:nvSpPr>
        <xdr:cNvPr id="14" name="Rectangle: Rounded Corners 13">
          <a:hlinkClick xmlns:r="http://schemas.openxmlformats.org/officeDocument/2006/relationships" r:id="rId7"/>
          <a:extLst>
            <a:ext uri="{FF2B5EF4-FFF2-40B4-BE49-F238E27FC236}">
              <a16:creationId xmlns:a16="http://schemas.microsoft.com/office/drawing/2014/main" id="{63AF61D3-C981-45A1-B51C-04FAF8AC40C1}"/>
            </a:ext>
          </a:extLst>
        </xdr:cNvPr>
        <xdr:cNvSpPr/>
      </xdr:nvSpPr>
      <xdr:spPr>
        <a:xfrm>
          <a:off x="8917218" y="185615"/>
          <a:ext cx="621360"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Schedule</a:t>
          </a:r>
        </a:p>
      </xdr:txBody>
    </xdr:sp>
    <xdr:clientData/>
  </xdr:twoCellAnchor>
  <xdr:twoCellAnchor>
    <xdr:from>
      <xdr:col>15</xdr:col>
      <xdr:colOff>451125</xdr:colOff>
      <xdr:row>1</xdr:row>
      <xdr:rowOff>0</xdr:rowOff>
    </xdr:from>
    <xdr:to>
      <xdr:col>16</xdr:col>
      <xdr:colOff>402458</xdr:colOff>
      <xdr:row>2</xdr:row>
      <xdr:rowOff>47167</xdr:rowOff>
    </xdr:to>
    <xdr:sp macro="" textlink="">
      <xdr:nvSpPr>
        <xdr:cNvPr id="15" name="Rectangle: Rounded Corners 14">
          <a:hlinkClick xmlns:r="http://schemas.openxmlformats.org/officeDocument/2006/relationships" r:id="rId8"/>
          <a:extLst>
            <a:ext uri="{FF2B5EF4-FFF2-40B4-BE49-F238E27FC236}">
              <a16:creationId xmlns:a16="http://schemas.microsoft.com/office/drawing/2014/main" id="{C13D6FCC-5F99-4EF9-92CC-34DB35138982}"/>
            </a:ext>
          </a:extLst>
        </xdr:cNvPr>
        <xdr:cNvSpPr/>
      </xdr:nvSpPr>
      <xdr:spPr>
        <a:xfrm>
          <a:off x="9565817" y="185615"/>
          <a:ext cx="830564"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Ratio Analysis</a:t>
          </a:r>
        </a:p>
      </xdr:txBody>
    </xdr:sp>
    <xdr:clientData/>
  </xdr:twoCellAnchor>
  <xdr:twoCellAnchor>
    <xdr:from>
      <xdr:col>16</xdr:col>
      <xdr:colOff>429697</xdr:colOff>
      <xdr:row>1</xdr:row>
      <xdr:rowOff>0</xdr:rowOff>
    </xdr:from>
    <xdr:to>
      <xdr:col>17</xdr:col>
      <xdr:colOff>781425</xdr:colOff>
      <xdr:row>2</xdr:row>
      <xdr:rowOff>47167</xdr:rowOff>
    </xdr:to>
    <xdr:sp macro="" textlink="">
      <xdr:nvSpPr>
        <xdr:cNvPr id="16" name="Rectangle: Rounded Corners 15">
          <a:hlinkClick xmlns:r="http://schemas.openxmlformats.org/officeDocument/2006/relationships" r:id="rId9"/>
          <a:extLst>
            <a:ext uri="{FF2B5EF4-FFF2-40B4-BE49-F238E27FC236}">
              <a16:creationId xmlns:a16="http://schemas.microsoft.com/office/drawing/2014/main" id="{111E8F0A-4BEE-4F31-AB99-DB4D6B93BB29}"/>
            </a:ext>
          </a:extLst>
        </xdr:cNvPr>
        <xdr:cNvSpPr/>
      </xdr:nvSpPr>
      <xdr:spPr>
        <a:xfrm>
          <a:off x="10423620" y="185615"/>
          <a:ext cx="1230959" cy="232783"/>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Common-Size Analysis</a:t>
          </a:r>
        </a:p>
      </xdr:txBody>
    </xdr:sp>
    <xdr:clientData/>
  </xdr:twoCellAnchor>
  <xdr:twoCellAnchor>
    <xdr:from>
      <xdr:col>17</xdr:col>
      <xdr:colOff>808662</xdr:colOff>
      <xdr:row>1</xdr:row>
      <xdr:rowOff>1594</xdr:rowOff>
    </xdr:from>
    <xdr:to>
      <xdr:col>19</xdr:col>
      <xdr:colOff>224733</xdr:colOff>
      <xdr:row>2</xdr:row>
      <xdr:rowOff>49172</xdr:rowOff>
    </xdr:to>
    <xdr:sp macro="" textlink="">
      <xdr:nvSpPr>
        <xdr:cNvPr id="17" name="Rectangle: Rounded Corners 16">
          <a:hlinkClick xmlns:r="http://schemas.openxmlformats.org/officeDocument/2006/relationships" r:id="rId10"/>
          <a:extLst>
            <a:ext uri="{FF2B5EF4-FFF2-40B4-BE49-F238E27FC236}">
              <a16:creationId xmlns:a16="http://schemas.microsoft.com/office/drawing/2014/main" id="{91FE975B-CE76-43BF-8B14-2675C6BE00A1}"/>
            </a:ext>
          </a:extLst>
        </xdr:cNvPr>
        <xdr:cNvSpPr/>
      </xdr:nvSpPr>
      <xdr:spPr>
        <a:xfrm>
          <a:off x="11681816" y="187209"/>
          <a:ext cx="1174532" cy="233194"/>
        </a:xfrm>
        <a:prstGeom prst="roundRect">
          <a:avLst/>
        </a:prstGeom>
        <a:solidFill>
          <a:schemeClr val="accent1">
            <a:lumMod val="75000"/>
          </a:schemeClr>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Comparative</a:t>
          </a:r>
          <a:r>
            <a:rPr lang="en-IN" sz="900" b="1" baseline="0">
              <a:latin typeface="+mj-lt"/>
              <a:cs typeface="Segoe UI" panose="020B0502040204020203" pitchFamily="34" charset="0"/>
            </a:rPr>
            <a:t> Analysis</a:t>
          </a:r>
          <a:endParaRPr lang="en-IN" sz="900" b="1">
            <a:latin typeface="+mj-lt"/>
            <a:cs typeface="Segoe UI" panose="020B0502040204020203" pitchFamily="34" charset="0"/>
          </a:endParaRPr>
        </a:p>
      </xdr:txBody>
    </xdr:sp>
    <xdr:clientData/>
  </xdr:twoCellAnchor>
  <xdr:twoCellAnchor>
    <xdr:from>
      <xdr:col>10</xdr:col>
      <xdr:colOff>0</xdr:colOff>
      <xdr:row>1</xdr:row>
      <xdr:rowOff>0</xdr:rowOff>
    </xdr:from>
    <xdr:to>
      <xdr:col>10</xdr:col>
      <xdr:colOff>698436</xdr:colOff>
      <xdr:row>2</xdr:row>
      <xdr:rowOff>47168</xdr:rowOff>
    </xdr:to>
    <xdr:sp macro="" textlink="">
      <xdr:nvSpPr>
        <xdr:cNvPr id="18" name="Rectangle: Rounded Corners 17">
          <a:hlinkClick xmlns:r="http://schemas.openxmlformats.org/officeDocument/2006/relationships" r:id="rId11"/>
          <a:extLst>
            <a:ext uri="{FF2B5EF4-FFF2-40B4-BE49-F238E27FC236}">
              <a16:creationId xmlns:a16="http://schemas.microsoft.com/office/drawing/2014/main" id="{64A2A45D-7523-4332-9095-B22412F3D2C1}"/>
            </a:ext>
          </a:extLst>
        </xdr:cNvPr>
        <xdr:cNvSpPr/>
      </xdr:nvSpPr>
      <xdr:spPr>
        <a:xfrm>
          <a:off x="4718538" y="185615"/>
          <a:ext cx="698436" cy="232784"/>
        </a:xfrm>
        <a:prstGeom prst="roundRect">
          <a:avLst/>
        </a:prstGeom>
        <a:solidFill>
          <a:srgbClr val="7030A0"/>
        </a:solidFill>
        <a:ln>
          <a:no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latin typeface="+mj-lt"/>
              <a:cs typeface="Segoe UI" panose="020B0502040204020203" pitchFamily="34" charset="0"/>
            </a:rPr>
            <a:t>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10" refreshedDate="46228.169350115742" missingItemsLimit="0" createdVersion="8" refreshedVersion="8" minRefreshableVersion="3" recordCount="11" xr:uid="{ACE5D25E-33A2-46DA-A7CC-8140730E4BEB}">
  <cacheSource type="worksheet">
    <worksheetSource name="Table1"/>
  </cacheSource>
  <cacheFields count="11">
    <cacheField name="Year" numFmtId="0">
      <sharedItems containsSemiMixedTypes="0" containsString="0" containsNumber="1" containsInteger="1" minValue="20" maxValue="30" count="11">
        <n v="20"/>
        <n v="21"/>
        <n v="22"/>
        <n v="23"/>
        <n v="24"/>
        <n v="25"/>
        <n v="26"/>
        <n v="27"/>
        <n v="28"/>
        <n v="29"/>
        <n v="30"/>
      </sharedItems>
    </cacheField>
    <cacheField name="Revenue" numFmtId="184">
      <sharedItems containsSemiMixedTypes="0" containsString="0" containsNumber="1" minValue="20211.25" maxValue="50493.096339668758"/>
    </cacheField>
    <cacheField name="Gross Profit" numFmtId="184">
      <sharedItems containsSemiMixedTypes="0" containsString="0" containsNumber="1" minValue="8827.7899999999991" maxValue="21110.050210302248"/>
    </cacheField>
    <cacheField name="EBITDA" numFmtId="184">
      <sharedItems containsSemiMixedTypes="0" containsString="0" containsNumber="1" minValue="4466.079999999999" maxValue="9996.4904837723752"/>
    </cacheField>
    <cacheField name="PAT" numFmtId="184">
      <sharedItems containsSemiMixedTypes="0" containsString="0" containsNumber="1" minValue="2774.1899999999991" maxValue="6163.4359109095458"/>
    </cacheField>
    <cacheField name="ROCE %" numFmtId="10">
      <sharedItems containsSemiMixedTypes="0" containsString="0" containsNumber="1" minValue="0.27857809121088506" maxValue="0.38924106658585395"/>
    </cacheField>
    <cacheField name="ROE% " numFmtId="10">
      <sharedItems containsSemiMixedTypes="0" containsString="0" containsNumber="1" minValue="0.18903432559391048" maxValue="0.29154968683756666"/>
    </cacheField>
    <cacheField name="ROA%" numFmtId="10">
      <sharedItems containsSemiMixedTypes="0" containsString="0" containsNumber="1" minValue="0.12214496744796183" maxValue="0.18572628273741981"/>
    </cacheField>
    <cacheField name="Gross Profit Margin" numFmtId="10">
      <sharedItems containsSemiMixedTypes="0" containsString="0" containsNumber="1" minValue="0.37113590879851333" maxValue="0.44285234647412891"/>
    </cacheField>
    <cacheField name="EBITDA Margin" numFmtId="10">
      <sharedItems containsSemiMixedTypes="0" containsString="0" containsNumber="1" minValue="0.17812343649488954" maxValue="0.23758577317792878"/>
    </cacheField>
    <cacheField name="PAT Margin" numFmtId="10">
      <sharedItems containsSemiMixedTypes="0" containsString="0" containsNumber="1" minValue="0.10600255383955619" maxValue="0.15657789198565528"/>
    </cacheField>
  </cacheFields>
  <extLst>
    <ext xmlns:x14="http://schemas.microsoft.com/office/spreadsheetml/2009/9/main" uri="{725AE2AE-9491-48be-B2B4-4EB974FC3084}">
      <x14:pivotCacheDefinition pivotCacheId="6439243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n v="20211.25"/>
    <n v="8827.7899999999991"/>
    <n v="4466.079999999999"/>
    <n v="2774.1899999999991"/>
    <n v="0.35477082530294363"/>
    <n v="0.26704119184692049"/>
    <n v="0.17172575035113463"/>
    <n v="0.43677605294081262"/>
    <n v="0.22097000432927202"/>
    <n v="0.13725969447708575"/>
  </r>
  <r>
    <x v="1"/>
    <n v="21712.79"/>
    <n v="9615.5600000000013"/>
    <n v="5158.6500000000005"/>
    <n v="3206.7500000000014"/>
    <n v="0.33385968702667862"/>
    <n v="0.24513656960759125"/>
    <n v="0.15742807180497237"/>
    <n v="0.44285234647412891"/>
    <n v="0.23758577317792878"/>
    <n v="0.14768944939825795"/>
  </r>
  <r>
    <x v="2"/>
    <n v="29101.279999999999"/>
    <n v="10800.529999999999"/>
    <n v="5183.619999999999"/>
    <n v="3084.8099999999995"/>
    <n v="0.31064345886431172"/>
    <n v="0.21942271546443706"/>
    <n v="0.13421291351326656"/>
    <n v="0.37113590879851333"/>
    <n v="0.17812343649488954"/>
    <n v="0.10600255383955619"/>
  </r>
  <r>
    <x v="3"/>
    <n v="34488.590000000004"/>
    <n v="13332.09"/>
    <n v="6646.32"/>
    <n v="4195.33"/>
    <n v="0.35427655781762202"/>
    <n v="0.25677782273016331"/>
    <n v="0.16262229630203892"/>
    <n v="0.38656523795260977"/>
    <n v="0.19271069069509653"/>
    <n v="0.12164399878336572"/>
  </r>
  <r>
    <x v="4"/>
    <n v="35494.729999999996"/>
    <n v="15404.519999999997"/>
    <n v="8272.9399999999969"/>
    <n v="5557.6899999999969"/>
    <n v="0.38924106658585395"/>
    <n v="0.29154968683756666"/>
    <n v="0.18572628273741981"/>
    <n v="0.43399456764426714"/>
    <n v="0.23307516355244842"/>
    <n v="0.15657789198565528"/>
  </r>
  <r>
    <x v="5"/>
    <n v="33905.620000000003"/>
    <n v="14389.840000000004"/>
    <n v="6578.8200000000052"/>
    <n v="3709.7100000000046"/>
    <n v="0.28293567749869281"/>
    <n v="0.18903432559391048"/>
    <n v="0.12214496744796183"/>
    <n v="0.42440869684730742"/>
    <n v="0.19403331954997444"/>
    <n v="0.10941283480437769"/>
  </r>
  <r>
    <x v="6"/>
    <n v="35583.54"/>
    <n v="15581.760000000002"/>
    <n v="7419.7200000000012"/>
    <n v="4394.6900000000014"/>
    <n v="0.28510698709934312"/>
    <n v="0.2023878429260528"/>
    <n v="0.12725510062549064"/>
    <n v="0.43789235135121468"/>
    <n v="0.20851551026120507"/>
    <n v="0.12350345131484955"/>
  </r>
  <r>
    <x v="7"/>
    <n v="38834.811316644591"/>
    <n v="16235.97830656149"/>
    <n v="7894.2499852784204"/>
    <n v="4779.5019633944339"/>
    <n v="0.27857809121088506"/>
    <n v="0.20308545000171735"/>
    <n v="0.12644032895782126"/>
    <n v="0.41807795006854465"/>
    <n v="0.20327767066799027"/>
    <n v="0.12307261967681919"/>
  </r>
  <r>
    <x v="8"/>
    <n v="42384.849919173204"/>
    <n v="17720.171168170851"/>
    <n v="8542.4418231832096"/>
    <n v="5209.0626133793394"/>
    <n v="0.27979999999999999"/>
    <n v="0.20413069672669532"/>
    <n v="0.12669867622033709"/>
    <n v="0.41807795006854459"/>
    <n v="0.20154469909586614"/>
    <n v="0.12289916381237365"/>
  </r>
  <r>
    <x v="9"/>
    <n v="46260.995269682368"/>
    <n v="19340.702070479445"/>
    <n v="9241.9236168881416"/>
    <n v="5669.5146362478572"/>
    <n v="0.28050000000000003"/>
    <n v="0.20484226284816032"/>
    <n v="0.12667240312771522"/>
    <n v="0.41807795006854465"/>
    <n v="0.19977788119368314"/>
    <n v="0.12255496456997832"/>
  </r>
  <r>
    <x v="10"/>
    <n v="50493.096339668758"/>
    <n v="21110.050210302248"/>
    <n v="9996.4904837723752"/>
    <n v="6163.4359109095458"/>
    <n v="0.28089999999999998"/>
    <n v="0.2052784048920685"/>
    <n v="0.12639149934143029"/>
    <n v="0.41807795006854459"/>
    <n v="0.19797737133262036"/>
    <n v="0.122064922884663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46A082-BF57-41DB-9C88-E4389B5156BD}"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P3:Q9" firstHeaderRow="1" firstDataRow="1" firstDataCol="1" rowPageCount="1" colPageCount="1"/>
  <pivotFields count="11">
    <pivotField axis="axisPage" multipleItemSelectionAllowed="1" showAll="0" includeNewItemsInFilter="1">
      <items count="12">
        <item h="1" x="0"/>
        <item h="1" x="1"/>
        <item x="2"/>
        <item h="1" x="3"/>
        <item h="1" x="4"/>
        <item h="1" x="5"/>
        <item h="1" x="6"/>
        <item h="1" x="7"/>
        <item h="1" x="8"/>
        <item h="1" x="9"/>
        <item h="1" x="10"/>
        <item t="default"/>
      </items>
    </pivotField>
    <pivotField numFmtId="182" showAll="0"/>
    <pivotField numFmtId="182" showAll="0"/>
    <pivotField numFmtId="182" showAll="0"/>
    <pivotField numFmtId="182" showAll="0"/>
    <pivotField dataField="1" numFmtId="10" showAll="0"/>
    <pivotField dataField="1" numFmtId="10" showAll="0"/>
    <pivotField dataField="1" numFmtId="10" showAll="0"/>
    <pivotField dataField="1" numFmtId="10" showAll="0"/>
    <pivotField dataField="1" numFmtId="10" showAll="0"/>
    <pivotField dataField="1" numFmtId="10" showAll="0"/>
  </pivotFields>
  <rowFields count="1">
    <field x="-2"/>
  </rowFields>
  <rowItems count="6">
    <i>
      <x/>
    </i>
    <i i="1">
      <x v="1"/>
    </i>
    <i i="2">
      <x v="2"/>
    </i>
    <i i="3">
      <x v="3"/>
    </i>
    <i i="4">
      <x v="4"/>
    </i>
    <i i="5">
      <x v="5"/>
    </i>
  </rowItems>
  <colItems count="1">
    <i/>
  </colItems>
  <pageFields count="1">
    <pageField fld="0" hier="-1"/>
  </pageFields>
  <dataFields count="6">
    <dataField name=" PAT Margin" fld="10" subtotal="average" baseField="0" baseItem="0" numFmtId="10"/>
    <dataField name="ROA %" fld="7" subtotal="average" baseField="0" baseItem="0" numFmtId="10"/>
    <dataField name=" EBITDA Margin" fld="9" subtotal="average" baseField="0" baseItem="0" numFmtId="10"/>
    <dataField name="ROE % " fld="6" subtotal="average" baseField="0" baseItem="0" numFmtId="10"/>
    <dataField name=" ROCE %" fld="5" subtotal="average" baseField="0" baseItem="0" numFmtId="10"/>
    <dataField name="Gross Profit %" fld="8" subtotal="average" baseField="0" baseItem="0" numFmtId="10"/>
  </dataFields>
  <chartFormats count="1">
    <chartFormat chart="15"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661797-AACB-4431-BD62-673D875A8544}" name="PivotTable6"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M3:N7" firstHeaderRow="1" firstDataRow="1" firstDataCol="1" rowPageCount="1" colPageCount="1"/>
  <pivotFields count="11">
    <pivotField axis="axisPage" numFmtId="183" multipleItemSelectionAllowed="1" showAll="0" includeNewItemsInFilter="1" defaultSubtotal="0">
      <items count="11">
        <item h="1" x="0"/>
        <item h="1" x="1"/>
        <item x="2"/>
        <item h="1" x="3"/>
        <item h="1" x="4"/>
        <item h="1" x="5"/>
        <item h="1" x="6"/>
        <item h="1" x="7"/>
        <item h="1" x="8"/>
        <item h="1" x="9"/>
        <item h="1" x="10"/>
      </items>
    </pivotField>
    <pivotField dataField="1" numFmtId="182" showAll="0"/>
    <pivotField dataField="1" numFmtId="182" showAll="0"/>
    <pivotField dataField="1" numFmtId="182" showAll="0"/>
    <pivotField dataField="1" numFmtId="182" showAll="0"/>
    <pivotField numFmtId="10" showAll="0"/>
    <pivotField numFmtId="10" showAll="0"/>
    <pivotField numFmtId="10" showAll="0"/>
    <pivotField numFmtId="10" showAll="0"/>
    <pivotField numFmtId="10" showAll="0"/>
    <pivotField numFmtId="10" showAll="0"/>
  </pivotFields>
  <rowFields count="1">
    <field x="-2"/>
  </rowFields>
  <rowItems count="4">
    <i>
      <x/>
    </i>
    <i i="1">
      <x v="1"/>
    </i>
    <i i="2">
      <x v="2"/>
    </i>
    <i i="3">
      <x v="3"/>
    </i>
  </rowItems>
  <colItems count="1">
    <i/>
  </colItems>
  <pageFields count="1">
    <pageField fld="0" hier="-1"/>
  </pageFields>
  <dataFields count="4">
    <dataField name=" Revenue" fld="1" subtotal="average" baseField="0" baseItem="0" numFmtId="182"/>
    <dataField name=" Gross Profit" fld="2" subtotal="average" baseField="0" baseItem="0" numFmtId="182"/>
    <dataField name=" EBITDA" fld="3" subtotal="average" baseField="0" baseItem="0" numFmtId="182"/>
    <dataField name=" Profit After Tax" fld="4" subtotal="average" baseField="0" baseItem="0" numFmtId="182"/>
  </dataFields>
  <formats count="1">
    <format dxfId="41">
      <pivotArea field="0" type="button" dataOnly="0" labelOnly="1" outline="0" axis="axisPage" fieldPosition="0"/>
    </format>
  </formats>
  <chartFormats count="1">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E43126F-9B66-4BF5-B993-39421214ECE5}" sourceName="Year">
  <pivotTables>
    <pivotTable tabId="13" name="PivotTable6"/>
    <pivotTable tabId="13" name="PivotTable1"/>
  </pivotTables>
  <data>
    <tabular pivotCacheId="643924373">
      <items count="11">
        <i x="0"/>
        <i x="1"/>
        <i x="2" s="1"/>
        <i x="3"/>
        <i x="4"/>
        <i x="5"/>
        <i x="6"/>
        <i x="7"/>
        <i x="8"/>
        <i x="9"/>
        <i x="1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0591F55-C13C-47C7-88EB-5E59DB399DD6}" cache="Slicer_Year" caption="Financial Year"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643CCF-6D77-43BE-9068-1724B7779DD2}" name="Table1" displayName="Table1" ref="A1:K12" totalsRowShown="0" headerRowDxfId="40">
  <autoFilter ref="A1:K12" xr:uid="{15643CCF-6D77-43BE-9068-1724B7779DD2}"/>
  <tableColumns count="11">
    <tableColumn id="1" xr3:uid="{83E1AF0A-C820-42B6-8D31-518922F220B8}" name="Year" dataDxfId="39">
      <calculatedColumnFormula>A1+1</calculatedColumnFormula>
    </tableColumn>
    <tableColumn id="2" xr3:uid="{7A4E8195-6779-4941-B75C-4A3B5FDDA9E5}" name="Revenue" dataDxfId="38"/>
    <tableColumn id="3" xr3:uid="{D6652CEC-2B09-4CAB-886B-65366A61DDAE}" name="Gross Profit" dataDxfId="37"/>
    <tableColumn id="4" xr3:uid="{7CD03C65-ECC3-4404-ACFC-83B1D9E75807}" name="EBITDA" dataDxfId="36"/>
    <tableColumn id="5" xr3:uid="{70A77028-C039-4FE6-804B-0AFADF9CE854}" name="PAT" dataDxfId="35"/>
    <tableColumn id="6" xr3:uid="{1206C280-9F8A-45D4-9E6A-8784B4B32470}" name="ROCE %" dataDxfId="34" dataCellStyle="Percent"/>
    <tableColumn id="7" xr3:uid="{1166E92A-5639-4F39-A240-186292560933}" name="ROE% " dataDxfId="33"/>
    <tableColumn id="8" xr3:uid="{80A5599E-71CC-4754-AC56-32529600D3B5}" name="ROA%" dataDxfId="32"/>
    <tableColumn id="9" xr3:uid="{5B0A6E50-42D2-4F29-8B24-E4C3298061C0}" name="Gross Profit Margin" dataDxfId="31"/>
    <tableColumn id="10" xr3:uid="{4696A531-7576-4FBE-ACB1-D7C8E0CE5578}" name="EBITDA Margin" dataDxfId="30"/>
    <tableColumn id="11" xr3:uid="{E77ADE21-F7CD-4AEB-8DF6-C1D163419F0D}" name="PAT Margin" dataDxfId="2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Asian Paints">
      <a:dk1>
        <a:srgbClr val="210645"/>
      </a:dk1>
      <a:lt1>
        <a:sysClr val="window" lastClr="FFFFFF"/>
      </a:lt1>
      <a:dk2>
        <a:srgbClr val="4B5563"/>
      </a:dk2>
      <a:lt2>
        <a:srgbClr val="F5F6F7"/>
      </a:lt2>
      <a:accent1>
        <a:srgbClr val="E0534C"/>
      </a:accent1>
      <a:accent2>
        <a:srgbClr val="F28C28"/>
      </a:accent2>
      <a:accent3>
        <a:srgbClr val="FFE6B3"/>
      </a:accent3>
      <a:accent4>
        <a:srgbClr val="310E5F"/>
      </a:accent4>
      <a:accent5>
        <a:srgbClr val="D2C9E3"/>
      </a:accent5>
      <a:accent6>
        <a:srgbClr val="7030A0"/>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FEBCD-911A-4CBE-B697-0B7BE0269759}">
  <sheetPr codeName="Sheet10"/>
  <dimension ref="E36"/>
  <sheetViews>
    <sheetView showGridLines="0" zoomScale="72" zoomScaleNormal="92" workbookViewId="0"/>
  </sheetViews>
  <sheetFormatPr defaultRowHeight="14.4" x14ac:dyDescent="0.3"/>
  <cols>
    <col min="1" max="1" width="3.5546875" customWidth="1"/>
    <col min="2" max="2" width="15.109375" customWidth="1"/>
    <col min="3" max="3" width="3.21875" customWidth="1"/>
  </cols>
  <sheetData>
    <row r="36" spans="5:5" x14ac:dyDescent="0.3">
      <c r="E36" s="10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3E0CB-48B4-4301-A1C1-BC764531F9CB}">
  <sheetPr codeName="Sheet1"/>
  <dimension ref="A2:W43"/>
  <sheetViews>
    <sheetView showGridLines="0" tabSelected="1" zoomScale="82" zoomScaleNormal="235" workbookViewId="0">
      <selection activeCell="R15" sqref="R15"/>
    </sheetView>
  </sheetViews>
  <sheetFormatPr defaultRowHeight="14.4" x14ac:dyDescent="0.3"/>
  <cols>
    <col min="1" max="1" width="2.77734375" customWidth="1"/>
    <col min="3" max="3" width="13.44140625" customWidth="1"/>
    <col min="4" max="5" width="14.77734375" customWidth="1"/>
    <col min="7" max="10" width="15" customWidth="1"/>
    <col min="12" max="15" width="15.5546875" customWidth="1"/>
    <col min="16" max="16" width="9.77734375" customWidth="1"/>
    <col min="17" max="17" width="11.33203125" bestFit="1" customWidth="1"/>
    <col min="18" max="18" width="9.109375" customWidth="1"/>
    <col min="21" max="21" width="8.88671875" customWidth="1"/>
  </cols>
  <sheetData>
    <row r="2" spans="1:23" x14ac:dyDescent="0.3">
      <c r="D2" s="516" t="s">
        <v>34</v>
      </c>
      <c r="E2" s="516"/>
    </row>
    <row r="3" spans="1:23" x14ac:dyDescent="0.3">
      <c r="D3" s="17" t="s">
        <v>326</v>
      </c>
    </row>
    <row r="4" spans="1:23" ht="18" x14ac:dyDescent="0.3">
      <c r="D4" s="474">
        <v>2649.4</v>
      </c>
      <c r="E4" s="239"/>
    </row>
    <row r="5" spans="1:23" ht="18.600000000000001" thickBot="1" x14ac:dyDescent="0.35">
      <c r="D5" s="240" t="s">
        <v>272</v>
      </c>
      <c r="F5" s="239"/>
    </row>
    <row r="6" spans="1:23" ht="22.2" thickTop="1" thickBot="1" x14ac:dyDescent="0.45">
      <c r="A6" s="1"/>
      <c r="B6" s="523" t="s">
        <v>233</v>
      </c>
      <c r="C6" s="523"/>
      <c r="D6" s="523"/>
      <c r="E6" s="523"/>
      <c r="F6" s="523"/>
      <c r="G6" s="523"/>
      <c r="H6" s="523"/>
      <c r="I6" s="523"/>
      <c r="J6" s="523"/>
      <c r="K6" s="523"/>
      <c r="L6" s="523"/>
      <c r="M6" s="523"/>
      <c r="N6" s="523"/>
      <c r="O6" s="523"/>
    </row>
    <row r="7" spans="1:23" ht="15" thickTop="1" x14ac:dyDescent="0.3">
      <c r="A7" s="1"/>
      <c r="B7" s="1" t="s">
        <v>325</v>
      </c>
      <c r="J7" s="6"/>
    </row>
    <row r="8" spans="1:23" ht="15" customHeight="1" thickBot="1" x14ac:dyDescent="0.35">
      <c r="B8" s="13"/>
      <c r="C8" s="12"/>
      <c r="D8" s="12"/>
      <c r="E8" s="12"/>
      <c r="F8" s="12"/>
      <c r="G8" s="517" t="s">
        <v>21</v>
      </c>
      <c r="H8" s="517"/>
      <c r="I8" s="517"/>
      <c r="J8" s="518"/>
    </row>
    <row r="9" spans="1:23" ht="15" customHeight="1" thickTop="1" x14ac:dyDescent="0.3">
      <c r="B9" s="14" t="s">
        <v>18</v>
      </c>
      <c r="C9" s="15"/>
      <c r="D9" s="15"/>
      <c r="E9" s="15"/>
      <c r="F9" s="15"/>
      <c r="G9" s="30">
        <v>27</v>
      </c>
      <c r="H9" s="30">
        <f>G9+1</f>
        <v>28</v>
      </c>
      <c r="I9" s="30">
        <f>H9+1</f>
        <v>29</v>
      </c>
      <c r="J9" s="31">
        <f>I9+1</f>
        <v>30</v>
      </c>
    </row>
    <row r="10" spans="1:23" ht="4.2" customHeight="1" x14ac:dyDescent="0.3">
      <c r="B10" s="7"/>
      <c r="F10" s="11"/>
      <c r="G10" s="71"/>
      <c r="H10" s="71"/>
      <c r="I10" s="71"/>
      <c r="J10" s="72"/>
    </row>
    <row r="11" spans="1:23" ht="15.6" customHeight="1" x14ac:dyDescent="0.3">
      <c r="B11" s="521" t="s">
        <v>296</v>
      </c>
      <c r="C11" s="522"/>
      <c r="D11" s="522"/>
      <c r="E11" s="522"/>
      <c r="F11" s="11"/>
      <c r="G11" s="265">
        <f>SOPL!P24</f>
        <v>6556.1788591444601</v>
      </c>
      <c r="H11" s="265">
        <f>SOPL!Q24</f>
        <v>7139.508137748131</v>
      </c>
      <c r="I11" s="265">
        <f>SOPL!R24</f>
        <v>7764.211163214688</v>
      </c>
      <c r="J11" s="267">
        <f>SOPL!S24</f>
        <v>8433.6893963936927</v>
      </c>
      <c r="L11" s="524" t="s">
        <v>257</v>
      </c>
      <c r="M11" s="514" t="s">
        <v>266</v>
      </c>
      <c r="N11" s="528" t="s">
        <v>265</v>
      </c>
      <c r="O11" s="526" t="s">
        <v>261</v>
      </c>
    </row>
    <row r="12" spans="1:23" ht="15.6" customHeight="1" x14ac:dyDescent="0.3">
      <c r="A12" s="1"/>
      <c r="B12" s="519" t="s">
        <v>238</v>
      </c>
      <c r="C12" s="520"/>
      <c r="D12" s="520"/>
      <c r="E12" s="520"/>
      <c r="F12" s="78"/>
      <c r="G12" s="265">
        <f>-SOPL!P19</f>
        <v>-836.24905093803841</v>
      </c>
      <c r="H12" s="265">
        <f>-SOPL!Q19</f>
        <v>-966.16810609943354</v>
      </c>
      <c r="I12" s="265">
        <f>-SOPL!R19</f>
        <v>-1116.2712928602562</v>
      </c>
      <c r="J12" s="267">
        <f>-SOPL!S19</f>
        <v>-1289.6944034868284</v>
      </c>
      <c r="L12" s="525"/>
      <c r="M12" s="515"/>
      <c r="N12" s="529"/>
      <c r="O12" s="527"/>
      <c r="Q12" s="4"/>
      <c r="U12" s="1"/>
      <c r="V12" s="1"/>
      <c r="W12" s="1"/>
    </row>
    <row r="13" spans="1:23" x14ac:dyDescent="0.3">
      <c r="A13" s="1"/>
      <c r="B13" s="8" t="s">
        <v>295</v>
      </c>
      <c r="C13" s="306"/>
      <c r="D13" s="306"/>
      <c r="E13" s="306"/>
      <c r="F13" s="78"/>
      <c r="G13" s="265">
        <f>SUM(G11:G12)</f>
        <v>5719.9298082064215</v>
      </c>
      <c r="H13" s="265">
        <f>SUM(H11:H12)</f>
        <v>6173.3400316486977</v>
      </c>
      <c r="I13" s="265">
        <f>SUM(I11:I12)</f>
        <v>6647.9398703544321</v>
      </c>
      <c r="J13" s="267">
        <f>SUM(J11:J12)</f>
        <v>7143.9949929068644</v>
      </c>
      <c r="L13" s="7" t="s">
        <v>258</v>
      </c>
      <c r="M13" s="318">
        <v>0.12</v>
      </c>
      <c r="N13" s="304">
        <f>J30</f>
        <v>4.7119395797361893E-2</v>
      </c>
      <c r="O13" s="302">
        <f>M13*N13</f>
        <v>5.6543274956834273E-3</v>
      </c>
      <c r="U13" s="1"/>
      <c r="V13" s="1"/>
      <c r="W13" s="1"/>
    </row>
    <row r="14" spans="1:23" x14ac:dyDescent="0.3">
      <c r="A14" s="1"/>
      <c r="B14" s="519" t="s">
        <v>239</v>
      </c>
      <c r="C14" s="520"/>
      <c r="D14" s="520"/>
      <c r="E14" s="520"/>
      <c r="F14" s="78"/>
      <c r="G14" s="265">
        <f>G13*-0.268</f>
        <v>-1532.9411885993211</v>
      </c>
      <c r="H14" s="265">
        <f>H13*-0.268</f>
        <v>-1654.455128481851</v>
      </c>
      <c r="I14" s="265">
        <f>I13*-0.268</f>
        <v>-1781.6478852549878</v>
      </c>
      <c r="J14" s="267">
        <f>J13*-0.268</f>
        <v>-1914.5906580990397</v>
      </c>
      <c r="L14" s="7" t="s">
        <v>259</v>
      </c>
      <c r="M14" s="307">
        <v>0.88</v>
      </c>
      <c r="N14" s="304">
        <f>J23+J28*J24</f>
        <v>0.12904966116371949</v>
      </c>
      <c r="O14" s="302">
        <f>M14*N14</f>
        <v>0.11356370182407316</v>
      </c>
      <c r="Q14" s="4"/>
      <c r="U14" s="1"/>
      <c r="V14" s="1"/>
      <c r="W14" s="1"/>
    </row>
    <row r="15" spans="1:23" x14ac:dyDescent="0.3">
      <c r="A15" s="1"/>
      <c r="B15" s="519" t="s">
        <v>240</v>
      </c>
      <c r="C15" s="520"/>
      <c r="D15" s="520"/>
      <c r="E15" s="520"/>
      <c r="F15" s="78"/>
      <c r="G15" s="283">
        <f>Schedule!AG47</f>
        <v>1338.0711261339598</v>
      </c>
      <c r="H15" s="283">
        <f>Schedule!AH47</f>
        <v>1402.933685435079</v>
      </c>
      <c r="I15" s="283">
        <f>Schedule!AI47</f>
        <v>1477.7124536734541</v>
      </c>
      <c r="J15" s="284">
        <f>Schedule!AJ47</f>
        <v>1562.8010873786816</v>
      </c>
      <c r="L15" s="490"/>
      <c r="M15" s="308">
        <f>SUM(M13:M14)</f>
        <v>1</v>
      </c>
      <c r="N15" s="301"/>
      <c r="O15" s="305">
        <f>SUM(O13:O14)</f>
        <v>0.11921802931975659</v>
      </c>
      <c r="U15" s="1"/>
      <c r="V15" s="269"/>
      <c r="W15" s="1"/>
    </row>
    <row r="16" spans="1:23" x14ac:dyDescent="0.3">
      <c r="B16" s="519" t="s">
        <v>241</v>
      </c>
      <c r="C16" s="520"/>
      <c r="D16" s="520"/>
      <c r="E16" s="520"/>
      <c r="F16" s="11"/>
      <c r="G16" s="265">
        <v>25.72</v>
      </c>
      <c r="H16" s="265">
        <v>25.72</v>
      </c>
      <c r="I16" s="265">
        <v>25.72</v>
      </c>
      <c r="J16" s="267">
        <v>25.72</v>
      </c>
      <c r="M16" s="461" t="s">
        <v>260</v>
      </c>
      <c r="N16" s="459">
        <f>O15/M15</f>
        <v>0.11921802931975659</v>
      </c>
      <c r="Q16" s="4"/>
      <c r="U16" s="1"/>
      <c r="V16" s="269"/>
      <c r="W16" s="1"/>
    </row>
    <row r="17" spans="1:23" x14ac:dyDescent="0.3">
      <c r="B17" s="519" t="s">
        <v>242</v>
      </c>
      <c r="C17" s="520"/>
      <c r="D17" s="520"/>
      <c r="E17" s="520"/>
      <c r="F17" s="11"/>
      <c r="G17" s="265">
        <f>-(Schedule!Z11+Schedule!Z26)</f>
        <v>-1109.7582754064993</v>
      </c>
      <c r="H17" s="265">
        <f>SOCF!R28</f>
        <v>-1211.2055229557645</v>
      </c>
      <c r="I17" s="265">
        <f>SOCF!S28</f>
        <v>-1321.9717204359699</v>
      </c>
      <c r="J17" s="267">
        <f>SOCF!T28</f>
        <v>-1442.9098433607783</v>
      </c>
      <c r="Q17" s="40"/>
      <c r="U17" s="1"/>
      <c r="V17" s="269"/>
      <c r="W17" s="1"/>
    </row>
    <row r="18" spans="1:23" ht="16.2" x14ac:dyDescent="0.45">
      <c r="B18" s="519" t="s">
        <v>243</v>
      </c>
      <c r="C18" s="520"/>
      <c r="D18" s="520"/>
      <c r="E18" s="520"/>
      <c r="F18" s="11"/>
      <c r="G18" s="283">
        <f>('SOFP '!O33-'SOFP '!O61)-('SOFP '!P33-'SOFP '!P61)</f>
        <v>-1416.7583292405852</v>
      </c>
      <c r="H18" s="283">
        <f>('SOFP '!P33-'SOFP '!P61)-('SOFP '!Q33-'SOFP '!Q61)</f>
        <v>-1635.0981594241111</v>
      </c>
      <c r="I18" s="283">
        <f>('SOFP '!Q33-'SOFP '!Q61)-('SOFP '!R33-'SOFP '!R61)</f>
        <v>-1753.1762442134313</v>
      </c>
      <c r="J18" s="284">
        <f>('SOFP '!R33-'SOFP '!R61)-('SOFP '!S33-'SOFP '!S61)</f>
        <v>-1889.4196188525111</v>
      </c>
      <c r="L18" s="1" t="s">
        <v>325</v>
      </c>
      <c r="U18" s="1"/>
      <c r="V18" s="270"/>
      <c r="W18" s="1"/>
    </row>
    <row r="19" spans="1:23" ht="16.2" x14ac:dyDescent="0.45">
      <c r="B19" s="49"/>
      <c r="F19" s="78"/>
      <c r="G19" s="265"/>
      <c r="H19" s="265"/>
      <c r="I19" s="265"/>
      <c r="J19" s="267"/>
      <c r="L19" s="69" t="s">
        <v>254</v>
      </c>
      <c r="M19" s="16"/>
      <c r="N19" s="16"/>
      <c r="O19" s="315">
        <f>NPV(N16,G20:J20)</f>
        <v>9749.15243679796</v>
      </c>
      <c r="U19" s="1"/>
      <c r="V19" s="270"/>
      <c r="W19" s="1"/>
    </row>
    <row r="20" spans="1:23" x14ac:dyDescent="0.3">
      <c r="A20" s="1"/>
      <c r="B20" s="374" t="s">
        <v>247</v>
      </c>
      <c r="C20" s="313"/>
      <c r="D20" s="313"/>
      <c r="E20" s="313"/>
      <c r="F20" s="314"/>
      <c r="G20" s="63">
        <f>SUM(G13:G18)</f>
        <v>3024.2631410939757</v>
      </c>
      <c r="H20" s="63">
        <f>SUM(H13:H18)</f>
        <v>3101.2349062220501</v>
      </c>
      <c r="I20" s="63">
        <f>SUM(I13:I18)</f>
        <v>3294.5764741234962</v>
      </c>
      <c r="J20" s="64">
        <f>SUM(J13:J18)</f>
        <v>3485.5959599732178</v>
      </c>
      <c r="L20" s="7" t="s">
        <v>253</v>
      </c>
      <c r="O20" s="316">
        <f>J20*(1+J22)/(N16-J22)/(1+N16)^4</f>
        <v>32915.786879444029</v>
      </c>
      <c r="U20" s="1"/>
      <c r="V20" s="40"/>
      <c r="W20" s="1"/>
    </row>
    <row r="21" spans="1:23" x14ac:dyDescent="0.3">
      <c r="G21" s="213"/>
      <c r="H21" s="4"/>
      <c r="I21" s="4"/>
      <c r="J21" s="4"/>
      <c r="L21" s="7" t="s">
        <v>255</v>
      </c>
      <c r="O21" s="317">
        <f>SUM(O19:O20)</f>
        <v>42664.939316241987</v>
      </c>
      <c r="W21" s="1"/>
    </row>
    <row r="22" spans="1:23" ht="13.8" customHeight="1" x14ac:dyDescent="0.3">
      <c r="B22" s="510" t="s">
        <v>248</v>
      </c>
      <c r="C22" s="511"/>
      <c r="D22" s="514" t="s">
        <v>249</v>
      </c>
      <c r="E22" s="508" t="s">
        <v>267</v>
      </c>
      <c r="G22" s="69" t="s">
        <v>244</v>
      </c>
      <c r="H22" s="16"/>
      <c r="I22" s="34"/>
      <c r="J22" s="455">
        <f>(J20/G20)^(1/3)-1</f>
        <v>4.8461503487875035E-2</v>
      </c>
      <c r="L22" s="7" t="s">
        <v>268</v>
      </c>
      <c r="O22" s="316">
        <f>'SOFP '!O46+'SOFP '!O47</f>
        <v>2554.11</v>
      </c>
      <c r="W22" s="1"/>
    </row>
    <row r="23" spans="1:23" ht="13.8" customHeight="1" x14ac:dyDescent="0.35">
      <c r="B23" s="512"/>
      <c r="C23" s="513"/>
      <c r="D23" s="515"/>
      <c r="E23" s="509"/>
      <c r="G23" s="7" t="s">
        <v>245</v>
      </c>
      <c r="I23" s="11"/>
      <c r="J23" s="456">
        <v>6.7000000000000004E-2</v>
      </c>
      <c r="L23" s="505" t="s">
        <v>256</v>
      </c>
      <c r="M23" s="506"/>
      <c r="N23" s="507"/>
      <c r="O23" s="414">
        <f>O21-O22</f>
        <v>40110.829316241987</v>
      </c>
    </row>
    <row r="24" spans="1:23" x14ac:dyDescent="0.3">
      <c r="B24" s="298" t="s">
        <v>250</v>
      </c>
      <c r="D24" s="309">
        <v>0.67</v>
      </c>
      <c r="E24" s="311">
        <v>7.0000000000000007E-2</v>
      </c>
      <c r="G24" s="7" t="s">
        <v>246</v>
      </c>
      <c r="I24" s="11"/>
      <c r="J24" s="456">
        <v>7.3099999999999998E-2</v>
      </c>
    </row>
    <row r="25" spans="1:23" ht="15" thickBot="1" x14ac:dyDescent="0.35">
      <c r="B25" s="298" t="s">
        <v>251</v>
      </c>
      <c r="D25" s="310">
        <v>0.82</v>
      </c>
      <c r="E25" s="312">
        <v>0.05</v>
      </c>
      <c r="G25" s="7" t="s">
        <v>252</v>
      </c>
      <c r="I25" s="11"/>
      <c r="J25" s="457">
        <f>D28</f>
        <v>0.745</v>
      </c>
    </row>
    <row r="26" spans="1:23" ht="13.8" customHeight="1" x14ac:dyDescent="0.3">
      <c r="B26" s="298" t="s">
        <v>0</v>
      </c>
      <c r="C26" s="383"/>
      <c r="D26" s="310">
        <v>0.39</v>
      </c>
      <c r="E26" s="312">
        <v>0.01</v>
      </c>
      <c r="G26" s="7" t="s">
        <v>264</v>
      </c>
      <c r="H26" s="383"/>
      <c r="I26" s="384"/>
      <c r="J26" s="488">
        <f>J25*(1-E28)/((1-E28)+E28*(1-0.268))</f>
        <v>0.72295002426006794</v>
      </c>
      <c r="L26" s="498" t="s">
        <v>277</v>
      </c>
      <c r="M26" s="499"/>
      <c r="N26" s="500"/>
    </row>
    <row r="27" spans="1:23" ht="13.8" customHeight="1" x14ac:dyDescent="0.35">
      <c r="B27" s="299" t="s">
        <v>1</v>
      </c>
      <c r="C27" s="385"/>
      <c r="D27" s="603">
        <v>1.23</v>
      </c>
      <c r="E27" s="604">
        <v>0.03</v>
      </c>
      <c r="G27" s="7" t="s">
        <v>271</v>
      </c>
      <c r="J27" s="489">
        <v>0.26800000000000002</v>
      </c>
      <c r="L27" s="501"/>
      <c r="M27" s="502"/>
      <c r="N27" s="503"/>
      <c r="O27" s="375"/>
    </row>
    <row r="28" spans="1:23" ht="13.8" customHeight="1" x14ac:dyDescent="0.3">
      <c r="C28" s="300" t="s">
        <v>114</v>
      </c>
      <c r="D28" s="452">
        <f>MEDIAN(D24:D27)</f>
        <v>0.745</v>
      </c>
      <c r="E28" s="453">
        <f>MEDIAN(E24:E27)</f>
        <v>0.04</v>
      </c>
      <c r="G28" s="134" t="s">
        <v>262</v>
      </c>
      <c r="H28" s="96"/>
      <c r="I28" s="201"/>
      <c r="J28" s="454">
        <f>J26/(0.88)/((0.88+0.12*(1-0.268)))</f>
        <v>0.84883257405909018</v>
      </c>
      <c r="L28" s="492">
        <f>O23/SOPL!O54*10000000</f>
        <v>418.42412055796245</v>
      </c>
      <c r="M28" s="493"/>
      <c r="N28" s="494"/>
    </row>
    <row r="29" spans="1:23" ht="14.4" customHeight="1" x14ac:dyDescent="0.3">
      <c r="C29" s="300" t="s">
        <v>115</v>
      </c>
      <c r="D29" s="452">
        <f>AVERAGE(D24:D27)</f>
        <v>0.77749999999999997</v>
      </c>
      <c r="E29" s="453">
        <f>AVERAGE(E24:E27)</f>
        <v>0.04</v>
      </c>
      <c r="G29" s="69" t="s">
        <v>270</v>
      </c>
      <c r="H29" s="16"/>
      <c r="I29" s="34"/>
      <c r="J29" s="458">
        <f>(Schedule!L64-Schedule!L63-Schedule!L59)/('SOFP '!O46+'SOFP '!O47)</f>
        <v>6.4370759286013518E-2</v>
      </c>
      <c r="L29" s="492"/>
      <c r="M29" s="493"/>
      <c r="N29" s="494"/>
    </row>
    <row r="30" spans="1:23" ht="14.4" customHeight="1" thickBot="1" x14ac:dyDescent="0.35">
      <c r="G30" s="134" t="s">
        <v>180</v>
      </c>
      <c r="H30" s="96"/>
      <c r="I30" s="201"/>
      <c r="J30" s="459">
        <f>J29*(1-0.268)</f>
        <v>4.7119395797361893E-2</v>
      </c>
      <c r="L30" s="495"/>
      <c r="M30" s="496"/>
      <c r="N30" s="497"/>
    </row>
    <row r="31" spans="1:23" ht="14.4" customHeight="1" x14ac:dyDescent="0.3">
      <c r="G31" s="134" t="s">
        <v>269</v>
      </c>
      <c r="H31" s="96"/>
      <c r="I31" s="96"/>
      <c r="J31" s="460">
        <f>J23+J28*J24</f>
        <v>0.12904966116371949</v>
      </c>
      <c r="L31" s="415"/>
      <c r="M31" s="415"/>
      <c r="N31" s="416"/>
    </row>
    <row r="32" spans="1:23" ht="14.4" customHeight="1" x14ac:dyDescent="0.3">
      <c r="L32" s="415"/>
      <c r="M32" s="415"/>
      <c r="N32" s="416"/>
    </row>
    <row r="33" spans="2:15" ht="14.4" customHeight="1" x14ac:dyDescent="0.3">
      <c r="B33" s="504" t="s">
        <v>284</v>
      </c>
      <c r="C33" s="504"/>
      <c r="D33" s="504"/>
      <c r="E33" s="504"/>
      <c r="F33" s="504"/>
      <c r="G33" s="504"/>
      <c r="H33" s="504"/>
      <c r="I33" s="504"/>
      <c r="J33" s="504"/>
      <c r="K33" s="504"/>
      <c r="L33" s="504"/>
      <c r="M33" s="504"/>
      <c r="N33" s="504"/>
      <c r="O33" s="504"/>
    </row>
    <row r="34" spans="2:15" x14ac:dyDescent="0.3">
      <c r="B34" s="504"/>
      <c r="C34" s="504"/>
      <c r="D34" s="504"/>
      <c r="E34" s="504"/>
      <c r="F34" s="504"/>
      <c r="G34" s="504"/>
      <c r="H34" s="504"/>
      <c r="I34" s="504"/>
      <c r="J34" s="504"/>
      <c r="K34" s="504"/>
      <c r="L34" s="504"/>
      <c r="M34" s="504"/>
      <c r="N34" s="504"/>
      <c r="O34" s="504"/>
    </row>
    <row r="35" spans="2:15" x14ac:dyDescent="0.3">
      <c r="B35" s="504"/>
      <c r="C35" s="504"/>
      <c r="D35" s="504"/>
      <c r="E35" s="504"/>
      <c r="F35" s="504"/>
      <c r="G35" s="504"/>
      <c r="H35" s="504"/>
      <c r="I35" s="504"/>
      <c r="J35" s="504"/>
      <c r="K35" s="504"/>
      <c r="L35" s="504"/>
      <c r="M35" s="504"/>
      <c r="N35" s="504"/>
      <c r="O35" s="504"/>
    </row>
    <row r="38" spans="2:15" ht="48.6" customHeight="1" x14ac:dyDescent="0.3">
      <c r="B38" s="491" t="s">
        <v>283</v>
      </c>
      <c r="C38" s="491"/>
      <c r="D38" s="491"/>
      <c r="E38" s="491"/>
      <c r="F38" s="491"/>
      <c r="G38" s="491"/>
      <c r="H38" s="491"/>
      <c r="I38" s="491"/>
      <c r="J38" s="491"/>
      <c r="K38" s="491"/>
      <c r="L38" s="491"/>
      <c r="M38" s="491"/>
      <c r="N38" s="491"/>
      <c r="O38" s="491"/>
    </row>
    <row r="39" spans="2:15" ht="15.6" customHeight="1" x14ac:dyDescent="0.3">
      <c r="B39" s="391"/>
      <c r="C39" s="391"/>
      <c r="D39" s="391"/>
      <c r="E39" s="391"/>
      <c r="F39" s="391"/>
      <c r="G39" s="391"/>
      <c r="H39" s="391"/>
      <c r="I39" s="391"/>
      <c r="J39" s="391"/>
      <c r="K39" s="391"/>
      <c r="L39" s="391"/>
      <c r="M39" s="391"/>
      <c r="N39" s="391"/>
      <c r="O39" s="391"/>
    </row>
    <row r="40" spans="2:15" ht="14.4" customHeight="1" x14ac:dyDescent="0.3">
      <c r="B40" s="391"/>
      <c r="C40" s="391"/>
      <c r="D40" s="391"/>
      <c r="E40" s="391"/>
      <c r="F40" s="391"/>
      <c r="G40" s="391"/>
      <c r="H40" s="391"/>
      <c r="I40" s="391"/>
      <c r="J40" s="391"/>
      <c r="K40" s="391"/>
      <c r="L40" s="391"/>
      <c r="M40" s="391"/>
      <c r="N40" s="391"/>
      <c r="O40" s="391"/>
    </row>
    <row r="41" spans="2:15" ht="14.4" customHeight="1" x14ac:dyDescent="0.3">
      <c r="B41" s="391"/>
      <c r="C41" s="391"/>
      <c r="D41" s="391"/>
      <c r="E41" s="391"/>
      <c r="F41" s="391"/>
      <c r="G41" s="391"/>
      <c r="H41" s="391"/>
      <c r="I41" s="391"/>
      <c r="J41" s="391"/>
      <c r="K41" s="391"/>
      <c r="L41" s="391"/>
      <c r="M41" s="391"/>
      <c r="N41" s="391"/>
      <c r="O41" s="391"/>
    </row>
    <row r="42" spans="2:15" ht="14.4" customHeight="1" x14ac:dyDescent="0.3"/>
    <row r="43" spans="2:15" ht="14.4" customHeight="1" x14ac:dyDescent="0.3"/>
  </sheetData>
  <mergeCells count="22">
    <mergeCell ref="D2:E2"/>
    <mergeCell ref="G8:J8"/>
    <mergeCell ref="B18:E18"/>
    <mergeCell ref="B16:E16"/>
    <mergeCell ref="B17:E17"/>
    <mergeCell ref="B15:E15"/>
    <mergeCell ref="B14:E14"/>
    <mergeCell ref="B12:E12"/>
    <mergeCell ref="B11:E11"/>
    <mergeCell ref="B6:O6"/>
    <mergeCell ref="L11:L12"/>
    <mergeCell ref="O11:O12"/>
    <mergeCell ref="N11:N12"/>
    <mergeCell ref="M11:M12"/>
    <mergeCell ref="B38:O38"/>
    <mergeCell ref="L28:N30"/>
    <mergeCell ref="L26:N27"/>
    <mergeCell ref="B33:O35"/>
    <mergeCell ref="L23:N23"/>
    <mergeCell ref="E22:E23"/>
    <mergeCell ref="B22:C23"/>
    <mergeCell ref="D22:D23"/>
  </mergeCells>
  <conditionalFormatting sqref="N31:N32">
    <cfRule type="cellIs" dxfId="28" priority="1" operator="greaterThan">
      <formula>0</formula>
    </cfRule>
    <cfRule type="cellIs" dxfId="27" priority="2" operator="greaterThan">
      <formula>0</formula>
    </cfRule>
    <cfRule type="cellIs" dxfId="26" priority="3" operator="greaterThan">
      <formula>0</formula>
    </cfRule>
  </conditionalFormatting>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BB60D-4801-4974-8486-9FF652EBF9A6}">
  <sheetPr codeName="Sheet2"/>
  <dimension ref="A2:W54"/>
  <sheetViews>
    <sheetView showGridLines="0" zoomScale="92" zoomScaleNormal="92" workbookViewId="0"/>
  </sheetViews>
  <sheetFormatPr defaultRowHeight="14.4" x14ac:dyDescent="0.3"/>
  <cols>
    <col min="1" max="1" width="2.88671875" customWidth="1"/>
    <col min="2" max="2" width="15.6640625" customWidth="1"/>
    <col min="3" max="3" width="7.33203125" customWidth="1"/>
    <col min="4" max="4" width="12.77734375" customWidth="1"/>
    <col min="5" max="5" width="8.88671875" customWidth="1"/>
    <col min="6" max="6" width="5" customWidth="1"/>
    <col min="7" max="10" width="14.44140625" customWidth="1"/>
    <col min="11" max="11" width="7.44140625" customWidth="1"/>
    <col min="12" max="12" width="16.44140625" customWidth="1"/>
    <col min="13" max="14" width="15.6640625" customWidth="1"/>
    <col min="15" max="15" width="11.109375" customWidth="1"/>
    <col min="19" max="19" width="2.44140625" customWidth="1"/>
  </cols>
  <sheetData>
    <row r="2" spans="1:23" x14ac:dyDescent="0.3">
      <c r="D2" s="1" t="s">
        <v>34</v>
      </c>
      <c r="E2" s="1"/>
    </row>
    <row r="3" spans="1:23" x14ac:dyDescent="0.3">
      <c r="D3" s="17" t="s">
        <v>326</v>
      </c>
    </row>
    <row r="4" spans="1:23" ht="18" x14ac:dyDescent="0.3">
      <c r="D4" s="534">
        <v>2649.4</v>
      </c>
      <c r="E4" s="534"/>
    </row>
    <row r="5" spans="1:23" ht="18.600000000000001" thickBot="1" x14ac:dyDescent="0.35">
      <c r="D5" s="240" t="s">
        <v>272</v>
      </c>
      <c r="F5" s="239"/>
    </row>
    <row r="6" spans="1:23" ht="22.2" thickTop="1" thickBot="1" x14ac:dyDescent="0.45">
      <c r="A6" s="1"/>
      <c r="B6" s="523" t="s">
        <v>278</v>
      </c>
      <c r="C6" s="523"/>
      <c r="D6" s="523"/>
      <c r="E6" s="523"/>
      <c r="F6" s="523"/>
      <c r="G6" s="523"/>
      <c r="H6" s="523"/>
      <c r="I6" s="523"/>
      <c r="J6" s="523"/>
      <c r="K6" s="523"/>
      <c r="L6" s="523"/>
      <c r="M6" s="523"/>
      <c r="N6" s="523"/>
      <c r="O6" s="523"/>
      <c r="P6" s="523"/>
      <c r="Q6" s="523"/>
      <c r="R6" s="523"/>
      <c r="S6" s="523"/>
    </row>
    <row r="7" spans="1:23" ht="15" customHeight="1" thickTop="1" x14ac:dyDescent="0.4">
      <c r="A7" s="1"/>
      <c r="B7" s="1" t="s">
        <v>325</v>
      </c>
      <c r="K7" s="373"/>
      <c r="L7" s="373"/>
      <c r="M7" s="373"/>
      <c r="N7" s="373"/>
      <c r="O7" s="373"/>
    </row>
    <row r="8" spans="1:23" ht="15" thickBot="1" x14ac:dyDescent="0.35">
      <c r="B8" s="13"/>
      <c r="C8" s="12"/>
      <c r="D8" s="12"/>
      <c r="E8" s="12"/>
      <c r="F8" s="12"/>
      <c r="G8" s="517" t="s">
        <v>21</v>
      </c>
      <c r="H8" s="517"/>
      <c r="I8" s="517"/>
      <c r="J8" s="518"/>
    </row>
    <row r="9" spans="1:23" ht="15" thickTop="1" x14ac:dyDescent="0.3">
      <c r="B9" s="14" t="s">
        <v>18</v>
      </c>
      <c r="C9" s="15"/>
      <c r="D9" s="15"/>
      <c r="E9" s="15"/>
      <c r="F9" s="15"/>
      <c r="G9" s="30">
        <v>27</v>
      </c>
      <c r="H9" s="30">
        <f>G9+1</f>
        <v>28</v>
      </c>
      <c r="I9" s="30">
        <f>H9+1</f>
        <v>29</v>
      </c>
      <c r="J9" s="31">
        <f>I9+1</f>
        <v>30</v>
      </c>
    </row>
    <row r="10" spans="1:23" ht="6" customHeight="1" x14ac:dyDescent="0.3">
      <c r="B10" s="379" t="s">
        <v>275</v>
      </c>
      <c r="C10" s="368"/>
      <c r="D10" s="368"/>
      <c r="E10" s="368"/>
      <c r="F10" s="380"/>
      <c r="G10" s="381">
        <f>SOPL!O13*(1+'Sensitivity Analysis'!$D$24)</f>
        <v>40921.070999999996</v>
      </c>
      <c r="H10" s="381">
        <f>G10*(1+$D$24)</f>
        <v>47059.231649999994</v>
      </c>
      <c r="I10" s="381">
        <f>H10*(1+$D$24)</f>
        <v>54118.116397499987</v>
      </c>
      <c r="J10" s="382">
        <f>I10*(1+$D$24)</f>
        <v>62235.833857124977</v>
      </c>
      <c r="L10" s="535"/>
      <c r="M10" s="535"/>
      <c r="N10" s="536"/>
      <c r="O10" s="535"/>
    </row>
    <row r="11" spans="1:23" x14ac:dyDescent="0.3">
      <c r="B11" s="7" t="s">
        <v>234</v>
      </c>
      <c r="F11" s="11"/>
      <c r="G11" s="265">
        <f>G10*$D$25</f>
        <v>10230.267749999999</v>
      </c>
      <c r="H11" s="265">
        <f>H10*$D$25</f>
        <v>11764.807912499999</v>
      </c>
      <c r="I11" s="265">
        <f>I10*$D$25</f>
        <v>13529.529099374997</v>
      </c>
      <c r="J11" s="267">
        <f>J10*$D$25</f>
        <v>15558.958464281244</v>
      </c>
      <c r="L11" s="535"/>
      <c r="M11" s="535"/>
      <c r="N11" s="536"/>
      <c r="O11" s="535"/>
    </row>
    <row r="12" spans="1:23" x14ac:dyDescent="0.3">
      <c r="B12" s="76" t="s">
        <v>238</v>
      </c>
      <c r="C12" s="306"/>
      <c r="D12" s="306"/>
      <c r="E12" s="306"/>
      <c r="F12" s="11"/>
      <c r="G12" s="265">
        <f>'Valuation-FCFF'!G12</f>
        <v>-836.24905093803841</v>
      </c>
      <c r="H12" s="265">
        <f>'Valuation-FCFF'!H12</f>
        <v>-966.16810609943354</v>
      </c>
      <c r="I12" s="265">
        <f>'Valuation-FCFF'!I12</f>
        <v>-1116.2712928602562</v>
      </c>
      <c r="J12" s="267">
        <f>'Valuation-FCFF'!J12</f>
        <v>-1289.6944034868284</v>
      </c>
      <c r="M12" s="81"/>
      <c r="N12" s="370"/>
      <c r="O12" s="370"/>
    </row>
    <row r="13" spans="1:23" x14ac:dyDescent="0.3">
      <c r="B13" s="76" t="s">
        <v>239</v>
      </c>
      <c r="C13" s="306"/>
      <c r="D13" s="306"/>
      <c r="E13" s="306"/>
      <c r="F13" s="78"/>
      <c r="G13" s="265">
        <f>-SUM(G11:G12)*$D$28</f>
        <v>-1409.1028048592941</v>
      </c>
      <c r="H13" s="265">
        <f>-SUM(H11:H12)*$D$28</f>
        <v>-1619.7959709600846</v>
      </c>
      <c r="I13" s="265">
        <f>-SUM(I11:I12)*$D$28</f>
        <v>-1861.9886709772111</v>
      </c>
      <c r="J13" s="267">
        <f>-SUM(J11:J12)*$D$28</f>
        <v>-2140.3896091191623</v>
      </c>
      <c r="M13" s="45"/>
      <c r="N13" s="370"/>
      <c r="O13" s="370"/>
    </row>
    <row r="14" spans="1:23" x14ac:dyDescent="0.3">
      <c r="B14" s="76" t="s">
        <v>240</v>
      </c>
      <c r="C14" s="306"/>
      <c r="D14" s="306"/>
      <c r="E14" s="306"/>
      <c r="F14" s="78"/>
      <c r="G14" s="283">
        <f>'Valuation-FCFF'!G15</f>
        <v>1338.0711261339598</v>
      </c>
      <c r="H14" s="283">
        <f>'Valuation-FCFF'!H15</f>
        <v>1402.933685435079</v>
      </c>
      <c r="I14" s="283">
        <f>'Valuation-FCFF'!I15</f>
        <v>1477.7124536734541</v>
      </c>
      <c r="J14" s="284">
        <f>'Valuation-FCFF'!J15</f>
        <v>1562.8010873786816</v>
      </c>
      <c r="M14" s="45"/>
      <c r="N14" s="371"/>
      <c r="O14" s="370"/>
      <c r="U14" s="1"/>
      <c r="V14" s="1"/>
      <c r="W14" s="171"/>
    </row>
    <row r="15" spans="1:23" x14ac:dyDescent="0.3">
      <c r="B15" s="76" t="s">
        <v>241</v>
      </c>
      <c r="C15" s="306"/>
      <c r="D15" s="306"/>
      <c r="E15" s="306"/>
      <c r="F15" s="11"/>
      <c r="G15" s="265">
        <f>'Valuation-FCFF'!G16</f>
        <v>25.72</v>
      </c>
      <c r="H15" s="265">
        <f>'Valuation-FCFF'!H16</f>
        <v>25.72</v>
      </c>
      <c r="I15" s="265">
        <f>'Valuation-FCFF'!I16</f>
        <v>25.72</v>
      </c>
      <c r="J15" s="267">
        <f>'Valuation-FCFF'!J16</f>
        <v>25.72</v>
      </c>
    </row>
    <row r="16" spans="1:23" x14ac:dyDescent="0.3">
      <c r="B16" s="76" t="s">
        <v>242</v>
      </c>
      <c r="C16" s="306"/>
      <c r="D16" s="306"/>
      <c r="E16" s="306"/>
      <c r="F16" s="11"/>
      <c r="G16" s="265">
        <f>'Valuation-FCFF'!G17</f>
        <v>-1109.7582754064993</v>
      </c>
      <c r="H16" s="265">
        <f>'Valuation-FCFF'!H17</f>
        <v>-1211.2055229557645</v>
      </c>
      <c r="I16" s="265">
        <f>'Valuation-FCFF'!I17</f>
        <v>-1321.9717204359699</v>
      </c>
      <c r="J16" s="267">
        <f>'Valuation-FCFF'!J17</f>
        <v>-1442.9098433607783</v>
      </c>
    </row>
    <row r="17" spans="2:18" x14ac:dyDescent="0.3">
      <c r="B17" s="76" t="s">
        <v>243</v>
      </c>
      <c r="C17" s="306"/>
      <c r="D17" s="306"/>
      <c r="E17" s="306"/>
      <c r="F17" s="11"/>
      <c r="G17" s="283">
        <f>'Valuation-FCFF'!G18</f>
        <v>-1416.7583292405852</v>
      </c>
      <c r="H17" s="283">
        <f>'Valuation-FCFF'!H18</f>
        <v>-1635.0981594241111</v>
      </c>
      <c r="I17" s="283">
        <f>'Valuation-FCFF'!I18</f>
        <v>-1753.1762442134313</v>
      </c>
      <c r="J17" s="284">
        <f>'Valuation-FCFF'!J18</f>
        <v>-1889.4196188525111</v>
      </c>
    </row>
    <row r="18" spans="2:18" ht="9" customHeight="1" x14ac:dyDescent="0.3">
      <c r="B18" s="49"/>
      <c r="F18" s="78"/>
      <c r="G18" s="143"/>
      <c r="H18" s="143"/>
      <c r="I18" s="143"/>
      <c r="J18" s="367"/>
    </row>
    <row r="19" spans="2:18" x14ac:dyDescent="0.3">
      <c r="B19" s="537" t="s">
        <v>247</v>
      </c>
      <c r="C19" s="538"/>
      <c r="D19" s="538"/>
      <c r="E19" s="538"/>
      <c r="F19" s="539"/>
      <c r="G19" s="532">
        <f>SUM(G11:G17)</f>
        <v>6822.1904156895416</v>
      </c>
      <c r="H19" s="530">
        <f>SUM(H11:H17)</f>
        <v>7761.1938384956811</v>
      </c>
      <c r="I19" s="530">
        <f>SUM(I11:I17)</f>
        <v>8979.5536245615822</v>
      </c>
      <c r="J19" s="543">
        <f>SUM(J11:J17)</f>
        <v>10385.066076840647</v>
      </c>
    </row>
    <row r="20" spans="2:18" x14ac:dyDescent="0.3">
      <c r="B20" s="540"/>
      <c r="C20" s="541"/>
      <c r="D20" s="541"/>
      <c r="E20" s="541"/>
      <c r="F20" s="542"/>
      <c r="G20" s="533"/>
      <c r="H20" s="531"/>
      <c r="I20" s="531"/>
      <c r="J20" s="544"/>
    </row>
    <row r="22" spans="2:18" ht="10.8" customHeight="1" x14ac:dyDescent="0.3">
      <c r="B22" s="550" t="s">
        <v>276</v>
      </c>
      <c r="C22" s="551"/>
      <c r="D22" s="552"/>
      <c r="G22" s="100"/>
    </row>
    <row r="23" spans="2:18" ht="14.4" customHeight="1" thickBot="1" x14ac:dyDescent="0.35">
      <c r="B23" s="553"/>
      <c r="C23" s="554"/>
      <c r="D23" s="555"/>
      <c r="G23" s="1" t="s">
        <v>325</v>
      </c>
    </row>
    <row r="24" spans="2:18" ht="14.4" customHeight="1" x14ac:dyDescent="0.3">
      <c r="B24" s="194" t="s">
        <v>274</v>
      </c>
      <c r="C24" s="198"/>
      <c r="D24" s="232">
        <v>0.15</v>
      </c>
      <c r="G24" s="69" t="str">
        <f>'Valuation-FCFF'!L19</f>
        <v>PV of FCFF (FY2027E-30E)</v>
      </c>
      <c r="H24" s="16"/>
      <c r="I24" s="16"/>
      <c r="J24" s="315">
        <f>NPV(D27,G19:J19)</f>
        <v>26455.812479831253</v>
      </c>
      <c r="L24" s="498" t="s">
        <v>277</v>
      </c>
      <c r="M24" s="499"/>
      <c r="N24" s="500"/>
    </row>
    <row r="25" spans="2:18" ht="13.2" customHeight="1" x14ac:dyDescent="0.3">
      <c r="B25" s="22" t="s">
        <v>273</v>
      </c>
      <c r="C25" s="1"/>
      <c r="D25" s="238">
        <v>0.25</v>
      </c>
      <c r="G25" s="7" t="str">
        <f>'Valuation-FCFF'!L20</f>
        <v>Terminal Value</v>
      </c>
      <c r="J25" s="316">
        <f>J19*(1+D26)/(D27-D26)/(1+D27)^4</f>
        <v>252988.65519703782</v>
      </c>
      <c r="L25" s="501"/>
      <c r="M25" s="502"/>
      <c r="N25" s="503"/>
      <c r="R25" s="100"/>
    </row>
    <row r="26" spans="2:18" ht="14.4" customHeight="1" x14ac:dyDescent="0.3">
      <c r="B26" s="22" t="s">
        <v>244</v>
      </c>
      <c r="C26" s="1"/>
      <c r="D26" s="372">
        <v>7.0000000000000007E-2</v>
      </c>
      <c r="G26" s="7" t="str">
        <f>'Valuation-FCFF'!L21</f>
        <v>Value of Firm</v>
      </c>
      <c r="J26" s="317">
        <f>SUM(J24:J25)</f>
        <v>279444.46767686907</v>
      </c>
      <c r="L26" s="492">
        <f>J28/SOPL!O54*10000000</f>
        <v>2888.4370225426792</v>
      </c>
      <c r="M26" s="493"/>
      <c r="N26" s="494"/>
    </row>
    <row r="27" spans="2:18" ht="14.4" customHeight="1" x14ac:dyDescent="0.3">
      <c r="B27" s="22" t="str">
        <f>'Valuation-FCFF'!M16</f>
        <v>WACC</v>
      </c>
      <c r="C27" s="1"/>
      <c r="D27" s="377">
        <v>0.1</v>
      </c>
      <c r="G27" s="7" t="str">
        <f>'Valuation-FCFF'!L22</f>
        <v>Value of Debt</v>
      </c>
      <c r="J27" s="316">
        <f>'Valuation-FCFF'!O22</f>
        <v>2554.11</v>
      </c>
      <c r="L27" s="492"/>
      <c r="M27" s="493"/>
      <c r="N27" s="494"/>
    </row>
    <row r="28" spans="2:18" ht="14.4" customHeight="1" x14ac:dyDescent="0.3">
      <c r="B28" s="378" t="s">
        <v>271</v>
      </c>
      <c r="C28" s="74"/>
      <c r="D28" s="376">
        <v>0.15</v>
      </c>
      <c r="G28" s="556" t="str">
        <f>'Valuation-FCFF'!L23</f>
        <v>Value of Equity</v>
      </c>
      <c r="H28" s="557"/>
      <c r="I28" s="557"/>
      <c r="J28" s="560">
        <f>J26-J27</f>
        <v>276890.35767686908</v>
      </c>
      <c r="L28" s="492"/>
      <c r="M28" s="493"/>
      <c r="N28" s="494"/>
    </row>
    <row r="29" spans="2:18" ht="5.4" customHeight="1" thickBot="1" x14ac:dyDescent="0.35">
      <c r="G29" s="558"/>
      <c r="H29" s="559"/>
      <c r="I29" s="559"/>
      <c r="J29" s="561"/>
      <c r="L29" s="495"/>
      <c r="M29" s="496"/>
      <c r="N29" s="497"/>
    </row>
    <row r="30" spans="2:18" x14ac:dyDescent="0.3">
      <c r="D30" s="388" t="s">
        <v>279</v>
      </c>
      <c r="E30" s="386"/>
      <c r="F30" s="392"/>
      <c r="K30" s="368" t="s">
        <v>273</v>
      </c>
    </row>
    <row r="31" spans="2:18" ht="14.4" customHeight="1" x14ac:dyDescent="0.3">
      <c r="D31" s="389" t="s">
        <v>280</v>
      </c>
      <c r="E31" s="370"/>
      <c r="F31" s="392"/>
      <c r="K31" s="369">
        <v>0.12</v>
      </c>
      <c r="L31" s="545" t="s">
        <v>297</v>
      </c>
      <c r="M31" s="546"/>
      <c r="N31" s="562">
        <f>L26/D4-1</f>
        <v>9.022307788279571E-2</v>
      </c>
    </row>
    <row r="32" spans="2:18" ht="14.4" customHeight="1" x14ac:dyDescent="0.3">
      <c r="D32" s="389" t="s">
        <v>281</v>
      </c>
      <c r="E32" s="370"/>
      <c r="F32" s="392"/>
      <c r="K32" s="369">
        <v>0.15</v>
      </c>
      <c r="L32" s="547"/>
      <c r="M32" s="548"/>
      <c r="N32" s="563"/>
    </row>
    <row r="33" spans="2:16" x14ac:dyDescent="0.3">
      <c r="E33" s="45"/>
      <c r="F33" s="392"/>
      <c r="K33" s="369">
        <v>0.17399999999999999</v>
      </c>
    </row>
    <row r="34" spans="2:16" ht="52.2" customHeight="1" x14ac:dyDescent="0.3">
      <c r="B34" s="549" t="s">
        <v>294</v>
      </c>
      <c r="C34" s="549"/>
      <c r="D34" s="549"/>
      <c r="E34" s="549"/>
      <c r="F34" s="549"/>
      <c r="G34" s="549"/>
      <c r="H34" s="549"/>
      <c r="I34" s="549"/>
      <c r="J34" s="549"/>
      <c r="K34" s="549"/>
      <c r="L34" s="549"/>
      <c r="M34" s="549"/>
      <c r="N34" s="549"/>
      <c r="O34" s="549"/>
    </row>
    <row r="35" spans="2:16" x14ac:dyDescent="0.3">
      <c r="B35" s="393"/>
      <c r="C35" s="393"/>
      <c r="D35" s="393"/>
      <c r="E35" s="393"/>
      <c r="F35" s="393"/>
      <c r="G35" s="393"/>
      <c r="H35" s="393"/>
      <c r="I35" s="393"/>
      <c r="J35" s="393"/>
      <c r="K35" s="393"/>
      <c r="L35" s="393"/>
      <c r="M35" s="303"/>
      <c r="N35" s="303"/>
      <c r="O35" s="303"/>
      <c r="P35" s="303"/>
    </row>
    <row r="36" spans="2:16" ht="14.4" customHeight="1" x14ac:dyDescent="0.3">
      <c r="B36" s="393"/>
      <c r="C36" s="393"/>
      <c r="D36" s="393"/>
      <c r="E36" s="393"/>
      <c r="F36" s="393"/>
      <c r="G36" s="393"/>
      <c r="H36" s="393"/>
      <c r="I36" s="393"/>
      <c r="J36" s="393"/>
      <c r="K36" s="395"/>
      <c r="L36" s="393"/>
      <c r="M36" s="303"/>
      <c r="N36" s="303"/>
      <c r="O36" s="303"/>
      <c r="P36" s="303"/>
    </row>
    <row r="37" spans="2:16" ht="15.6" hidden="1" customHeight="1" x14ac:dyDescent="0.3">
      <c r="B37" t="s">
        <v>244</v>
      </c>
      <c r="C37" s="387" t="s">
        <v>260</v>
      </c>
      <c r="D37" t="s">
        <v>274</v>
      </c>
      <c r="E37" s="387" t="s">
        <v>271</v>
      </c>
      <c r="F37" t="s">
        <v>285</v>
      </c>
      <c r="K37" s="396"/>
      <c r="M37" s="303"/>
      <c r="N37" s="303"/>
      <c r="O37" s="303"/>
      <c r="P37" s="303"/>
    </row>
    <row r="38" spans="2:16" hidden="1" x14ac:dyDescent="0.3">
      <c r="B38" s="100">
        <v>0.02</v>
      </c>
      <c r="C38" s="100">
        <v>0.1</v>
      </c>
      <c r="D38" s="100">
        <v>0.06</v>
      </c>
      <c r="E38" s="100">
        <v>0.15</v>
      </c>
      <c r="F38" s="100">
        <v>0.12</v>
      </c>
      <c r="K38" s="396"/>
      <c r="M38" s="303"/>
      <c r="N38" s="303"/>
      <c r="O38" s="303"/>
      <c r="P38" s="303"/>
    </row>
    <row r="39" spans="2:16" hidden="1" x14ac:dyDescent="0.3">
      <c r="B39" s="100">
        <v>0.03</v>
      </c>
      <c r="C39" s="100">
        <v>0.11</v>
      </c>
      <c r="D39" s="100">
        <v>7.0000000000000007E-2</v>
      </c>
      <c r="E39" s="100">
        <v>0.2</v>
      </c>
      <c r="F39" s="100">
        <v>0.15</v>
      </c>
      <c r="K39" s="396"/>
      <c r="L39" s="100"/>
      <c r="M39" s="303"/>
      <c r="N39" s="303"/>
      <c r="O39" s="303"/>
      <c r="P39" s="303"/>
    </row>
    <row r="40" spans="2:16" hidden="1" x14ac:dyDescent="0.3">
      <c r="B40" s="100">
        <v>4.8500000000000001E-2</v>
      </c>
      <c r="C40" s="100">
        <v>0.1192</v>
      </c>
      <c r="D40" s="100">
        <v>9.1700000000000004E-2</v>
      </c>
      <c r="E40" s="100">
        <v>0.26800000000000002</v>
      </c>
      <c r="F40" s="100">
        <v>0.17399999999999999</v>
      </c>
      <c r="K40" s="396"/>
      <c r="M40" s="303"/>
      <c r="N40" s="303"/>
      <c r="O40" s="303"/>
      <c r="P40" s="303"/>
    </row>
    <row r="41" spans="2:16" hidden="1" x14ac:dyDescent="0.3">
      <c r="B41" s="100">
        <v>7.0000000000000007E-2</v>
      </c>
      <c r="C41" s="100">
        <v>0.13</v>
      </c>
      <c r="D41" s="100">
        <v>0.12</v>
      </c>
      <c r="E41" s="100">
        <v>0.3</v>
      </c>
      <c r="F41" s="100">
        <v>0.2</v>
      </c>
      <c r="M41" s="303"/>
      <c r="N41" s="303"/>
      <c r="O41" s="303"/>
      <c r="P41" s="303"/>
    </row>
    <row r="42" spans="2:16" hidden="1" x14ac:dyDescent="0.3">
      <c r="B42" s="100">
        <v>0.09</v>
      </c>
      <c r="C42" s="100">
        <v>0.15</v>
      </c>
      <c r="D42" s="100">
        <v>0.15</v>
      </c>
      <c r="E42" s="100">
        <v>0.35</v>
      </c>
      <c r="F42" s="100">
        <v>0.25</v>
      </c>
      <c r="M42" s="303"/>
      <c r="N42" s="303"/>
      <c r="O42" s="303"/>
      <c r="P42" s="303"/>
    </row>
    <row r="43" spans="2:16" x14ac:dyDescent="0.3">
      <c r="G43" s="394"/>
      <c r="H43" s="394"/>
      <c r="M43" s="303"/>
      <c r="N43" s="303"/>
      <c r="O43" s="303"/>
      <c r="P43" s="303"/>
    </row>
    <row r="53" spans="8:11" x14ac:dyDescent="0.3">
      <c r="H53" s="303"/>
      <c r="I53" s="303"/>
      <c r="J53" s="303"/>
      <c r="K53" s="303"/>
    </row>
    <row r="54" spans="8:11" x14ac:dyDescent="0.3">
      <c r="H54" s="303"/>
      <c r="I54" s="303"/>
      <c r="J54" s="303"/>
      <c r="K54" s="303"/>
    </row>
  </sheetData>
  <mergeCells count="20">
    <mergeCell ref="L31:M32"/>
    <mergeCell ref="B34:O34"/>
    <mergeCell ref="B22:D23"/>
    <mergeCell ref="L24:N25"/>
    <mergeCell ref="G28:I29"/>
    <mergeCell ref="J28:J29"/>
    <mergeCell ref="L26:N29"/>
    <mergeCell ref="N31:N32"/>
    <mergeCell ref="I19:I20"/>
    <mergeCell ref="H19:H20"/>
    <mergeCell ref="G19:G20"/>
    <mergeCell ref="B6:S6"/>
    <mergeCell ref="D4:E4"/>
    <mergeCell ref="G8:J8"/>
    <mergeCell ref="L10:L11"/>
    <mergeCell ref="M10:M11"/>
    <mergeCell ref="N10:N11"/>
    <mergeCell ref="O10:O11"/>
    <mergeCell ref="B19:F20"/>
    <mergeCell ref="J19:J20"/>
  </mergeCells>
  <conditionalFormatting sqref="C30">
    <cfRule type="cellIs" dxfId="25" priority="12" operator="greaterThan">
      <formula>18</formula>
    </cfRule>
  </conditionalFormatting>
  <conditionalFormatting sqref="C30:C32">
    <cfRule type="cellIs" dxfId="24" priority="69" operator="equal">
      <formula>$K$33</formula>
    </cfRule>
    <cfRule type="cellIs" dxfId="23" priority="70" operator="greaterThan">
      <formula>$K$33</formula>
    </cfRule>
    <cfRule type="cellIs" dxfId="22" priority="71" operator="lessThan">
      <formula>$K$33</formula>
    </cfRule>
    <cfRule type="cellIs" dxfId="21" priority="72" operator="greaterThan">
      <formula>$K$31</formula>
    </cfRule>
  </conditionalFormatting>
  <conditionalFormatting sqref="C31">
    <cfRule type="cellIs" dxfId="20" priority="11" operator="lessThan">
      <formula>17.4</formula>
    </cfRule>
  </conditionalFormatting>
  <conditionalFormatting sqref="C32">
    <cfRule type="cellIs" dxfId="19" priority="10" operator="lessThan">
      <formula>20</formula>
    </cfRule>
  </conditionalFormatting>
  <conditionalFormatting sqref="D24">
    <cfRule type="cellIs" dxfId="18" priority="86" operator="greaterThan">
      <formula>$D$41</formula>
    </cfRule>
    <cfRule type="cellIs" dxfId="17" priority="87" operator="equal">
      <formula>$D$40</formula>
    </cfRule>
    <cfRule type="cellIs" dxfId="16" priority="88" operator="lessThan">
      <formula>$D$40</formula>
    </cfRule>
    <cfRule type="cellIs" dxfId="15" priority="89" operator="greaterThan">
      <formula>$D$40</formula>
    </cfRule>
  </conditionalFormatting>
  <conditionalFormatting sqref="D25">
    <cfRule type="cellIs" dxfId="14" priority="57" operator="equal">
      <formula>$K$33</formula>
    </cfRule>
    <cfRule type="cellIs" dxfId="13" priority="58" operator="lessThan">
      <formula>$K$33</formula>
    </cfRule>
    <cfRule type="cellIs" dxfId="12" priority="59" operator="greaterThan">
      <formula>$K$33</formula>
    </cfRule>
  </conditionalFormatting>
  <conditionalFormatting sqref="D26">
    <cfRule type="cellIs" dxfId="11" priority="90" operator="equal">
      <formula>$B$40</formula>
    </cfRule>
    <cfRule type="cellIs" dxfId="10" priority="91" operator="greaterThan">
      <formula>$B$40</formula>
    </cfRule>
    <cfRule type="cellIs" dxfId="9" priority="92" operator="lessThan">
      <formula>$B$40</formula>
    </cfRule>
  </conditionalFormatting>
  <conditionalFormatting sqref="D27">
    <cfRule type="cellIs" dxfId="8" priority="93" operator="equal">
      <formula>$C$40</formula>
    </cfRule>
    <cfRule type="cellIs" dxfId="7" priority="94" operator="lessThan">
      <formula>$C$40</formula>
    </cfRule>
    <cfRule type="cellIs" dxfId="6" priority="95" operator="greaterThan">
      <formula>$C$40</formula>
    </cfRule>
  </conditionalFormatting>
  <conditionalFormatting sqref="D28">
    <cfRule type="cellIs" dxfId="5" priority="96" operator="equal">
      <formula>$E$40</formula>
    </cfRule>
    <cfRule type="cellIs" dxfId="4" priority="97" operator="greaterThan">
      <formula>$E$40</formula>
    </cfRule>
    <cfRule type="cellIs" dxfId="3" priority="98" operator="lessThan">
      <formula>$E$40</formula>
    </cfRule>
  </conditionalFormatting>
  <conditionalFormatting sqref="N31:N32">
    <cfRule type="cellIs" dxfId="2" priority="1" operator="greaterThan">
      <formula>0</formula>
    </cfRule>
    <cfRule type="cellIs" dxfId="1" priority="2" operator="greaterThan">
      <formula>0</formula>
    </cfRule>
    <cfRule type="cellIs" dxfId="0" priority="3" operator="greaterThan">
      <formula>0</formula>
    </cfRule>
  </conditionalFormatting>
  <dataValidations count="11">
    <dataValidation type="decimal" allowBlank="1" showInputMessage="1" showErrorMessage="1" sqref="E42" xr:uid="{6062E8DE-CF03-4906-BD88-D1A80EC9F6E9}">
      <formula1>0.01</formula1>
      <formula2>100</formula2>
    </dataValidation>
    <dataValidation type="list" allowBlank="1" showInputMessage="1" showErrorMessage="1" sqref="W14" xr:uid="{989C83DA-07F0-471F-B2C4-29C427A06739}">
      <formula1>$K$31:$K$33</formula1>
    </dataValidation>
    <dataValidation type="list" allowBlank="1" showInputMessage="1" showErrorMessage="1" sqref="K37" xr:uid="{23ADFCB7-FA71-41B9-9082-D00A733A5850}">
      <formula1>$M$35:$M$37</formula1>
    </dataValidation>
    <dataValidation type="list" allowBlank="1" showInputMessage="1" showErrorMessage="1" sqref="K38" xr:uid="{49E1B056-2396-435F-9857-7608D877C918}">
      <formula1>$N$35:$N$37</formula1>
    </dataValidation>
    <dataValidation type="list" allowBlank="1" showInputMessage="1" showErrorMessage="1" sqref="K39" xr:uid="{3F7B076D-538A-4F5A-88AB-B21369B629B0}">
      <formula1>$O$35:$O$37</formula1>
    </dataValidation>
    <dataValidation type="list" allowBlank="1" showInputMessage="1" showErrorMessage="1" sqref="K40" xr:uid="{D1589FE9-559A-462B-ACAA-41012338FDE6}">
      <formula1>$P$35:$P$37</formula1>
    </dataValidation>
    <dataValidation type="list" allowBlank="1" showInputMessage="1" showErrorMessage="1" sqref="D26" xr:uid="{E339DFC4-B025-4480-A478-C63F1CCD9776}">
      <formula1>$B$38:$B$42</formula1>
    </dataValidation>
    <dataValidation type="list" allowBlank="1" showInputMessage="1" showErrorMessage="1" sqref="D27" xr:uid="{DD6646B5-736C-4AE9-9578-8B2C5EB36A75}">
      <formula1>$C$38:$C$42</formula1>
    </dataValidation>
    <dataValidation type="list" allowBlank="1" showInputMessage="1" showErrorMessage="1" sqref="D24" xr:uid="{4EFBEF5C-BA9A-4899-9409-1C309CC18058}">
      <formula1>$D$38:$D$42</formula1>
    </dataValidation>
    <dataValidation type="list" allowBlank="1" showInputMessage="1" showErrorMessage="1" sqref="D28" xr:uid="{F86ED1A3-1CC7-4493-BF81-3C7F6DA61F67}">
      <formula1>$E$38:$E$42</formula1>
    </dataValidation>
    <dataValidation type="list" allowBlank="1" showInputMessage="1" showErrorMessage="1" sqref="D25" xr:uid="{A226A796-040F-474F-B45B-5BDBDFA9072A}">
      <formula1>$F$38:$F$42</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D758E-CA29-4592-9266-373F509A5E5A}">
  <sheetPr codeName="Sheet4"/>
  <dimension ref="B2:AU96"/>
  <sheetViews>
    <sheetView showGridLines="0" zoomScale="80" zoomScaleNormal="80" workbookViewId="0"/>
  </sheetViews>
  <sheetFormatPr defaultRowHeight="14.4" x14ac:dyDescent="0.3"/>
  <cols>
    <col min="1" max="1" width="2.88671875" customWidth="1"/>
    <col min="3" max="5" width="1.109375" customWidth="1"/>
    <col min="6" max="6" width="8.88671875" customWidth="1"/>
    <col min="8" max="8" width="19.33203125" customWidth="1"/>
    <col min="9" max="19" width="15" customWidth="1"/>
    <col min="20" max="20" width="15.109375" customWidth="1"/>
    <col min="21" max="21" width="9.33203125" bestFit="1" customWidth="1"/>
    <col min="22" max="22" width="12.77734375" bestFit="1" customWidth="1"/>
    <col min="23" max="25" width="9.44140625" bestFit="1" customWidth="1"/>
    <col min="26" max="27" width="10.5546875" bestFit="1" customWidth="1"/>
  </cols>
  <sheetData>
    <row r="2" spans="2:38" x14ac:dyDescent="0.3">
      <c r="G2" s="516" t="s">
        <v>34</v>
      </c>
      <c r="H2" s="516"/>
      <c r="I2" s="516"/>
      <c r="J2" s="516"/>
      <c r="K2" t="s">
        <v>71</v>
      </c>
    </row>
    <row r="3" spans="2:38" x14ac:dyDescent="0.3">
      <c r="G3" s="17" t="s">
        <v>326</v>
      </c>
    </row>
    <row r="4" spans="2:38" ht="18" customHeight="1" x14ac:dyDescent="0.3">
      <c r="G4" s="572">
        <v>2649.4</v>
      </c>
      <c r="H4" s="572"/>
      <c r="I4" s="42"/>
    </row>
    <row r="5" spans="2:38" ht="18" customHeight="1" thickBot="1" x14ac:dyDescent="0.35">
      <c r="G5" s="240" t="s">
        <v>272</v>
      </c>
      <c r="H5" s="319"/>
      <c r="I5" s="42"/>
    </row>
    <row r="6" spans="2:38" ht="22.2" thickTop="1" thickBot="1" x14ac:dyDescent="0.45">
      <c r="B6" s="523" t="s">
        <v>33</v>
      </c>
      <c r="C6" s="523"/>
      <c r="D6" s="523"/>
      <c r="E6" s="523"/>
      <c r="F6" s="523"/>
      <c r="G6" s="523"/>
      <c r="H6" s="523"/>
      <c r="I6" s="523"/>
      <c r="J6" s="523"/>
      <c r="K6" s="523"/>
      <c r="L6" s="523"/>
      <c r="M6" s="523"/>
      <c r="N6" s="523"/>
      <c r="O6" s="523"/>
      <c r="P6" s="523"/>
      <c r="Q6" s="523"/>
      <c r="R6" s="523"/>
      <c r="S6" s="523"/>
      <c r="T6" s="523"/>
    </row>
    <row r="7" spans="2:38" ht="15" thickTop="1" x14ac:dyDescent="0.3">
      <c r="B7" s="1" t="s">
        <v>325</v>
      </c>
    </row>
    <row r="8" spans="2:38" ht="15" thickBot="1" x14ac:dyDescent="0.35">
      <c r="B8" s="13"/>
      <c r="C8" s="12"/>
      <c r="D8" s="12"/>
      <c r="E8" s="12"/>
      <c r="F8" s="12"/>
      <c r="G8" s="12"/>
      <c r="H8" s="20"/>
      <c r="I8" s="565" t="s">
        <v>299</v>
      </c>
      <c r="J8" s="566"/>
      <c r="K8" s="566"/>
      <c r="L8" s="566"/>
      <c r="M8" s="566"/>
      <c r="N8" s="566"/>
      <c r="O8" s="566"/>
      <c r="P8" s="517" t="s">
        <v>21</v>
      </c>
      <c r="Q8" s="517"/>
      <c r="R8" s="517"/>
      <c r="S8" s="517"/>
      <c r="T8" s="7"/>
    </row>
    <row r="9" spans="2:38" ht="16.2" thickTop="1" x14ac:dyDescent="0.3">
      <c r="B9" s="14" t="s">
        <v>18</v>
      </c>
      <c r="C9" s="15"/>
      <c r="D9" s="15"/>
      <c r="E9" s="15"/>
      <c r="F9" s="15"/>
      <c r="G9" s="15"/>
      <c r="H9" s="21"/>
      <c r="I9" s="29">
        <f>J9-1</f>
        <v>20</v>
      </c>
      <c r="J9" s="29">
        <v>21</v>
      </c>
      <c r="K9" s="29">
        <f t="shared" ref="K9:S9" si="0">J9+1</f>
        <v>22</v>
      </c>
      <c r="L9" s="29">
        <f t="shared" si="0"/>
        <v>23</v>
      </c>
      <c r="M9" s="29">
        <f t="shared" si="0"/>
        <v>24</v>
      </c>
      <c r="N9" s="29">
        <f t="shared" si="0"/>
        <v>25</v>
      </c>
      <c r="O9" s="29">
        <f t="shared" si="0"/>
        <v>26</v>
      </c>
      <c r="P9" s="30">
        <f t="shared" si="0"/>
        <v>27</v>
      </c>
      <c r="Q9" s="30">
        <f t="shared" si="0"/>
        <v>28</v>
      </c>
      <c r="R9" s="30">
        <f t="shared" si="0"/>
        <v>29</v>
      </c>
      <c r="S9" s="30">
        <f t="shared" si="0"/>
        <v>30</v>
      </c>
      <c r="T9" s="127" t="s">
        <v>235</v>
      </c>
    </row>
    <row r="10" spans="2:38" ht="6.6" customHeight="1" x14ac:dyDescent="0.3">
      <c r="B10" s="7"/>
      <c r="H10" s="11"/>
      <c r="J10" s="23"/>
      <c r="K10" s="23"/>
      <c r="L10" s="23"/>
      <c r="M10" s="23"/>
      <c r="N10" s="23"/>
      <c r="O10" s="23"/>
      <c r="P10" s="23"/>
      <c r="Q10" s="23"/>
      <c r="R10" s="23"/>
      <c r="S10" s="28"/>
      <c r="T10" s="149"/>
    </row>
    <row r="11" spans="2:38" ht="18" x14ac:dyDescent="0.35">
      <c r="B11" s="567" t="s">
        <v>37</v>
      </c>
      <c r="C11" s="568"/>
      <c r="D11" s="568"/>
      <c r="E11" s="568"/>
      <c r="F11" s="568"/>
      <c r="G11" s="568"/>
      <c r="H11" s="11"/>
      <c r="J11" s="23"/>
      <c r="K11" s="23"/>
      <c r="L11" s="23"/>
      <c r="M11" s="23"/>
      <c r="N11" s="23"/>
      <c r="O11" s="23"/>
      <c r="P11" s="28"/>
      <c r="Q11" s="28"/>
      <c r="R11" s="28"/>
      <c r="S11" s="28"/>
      <c r="T11" s="149"/>
    </row>
    <row r="12" spans="2:38" x14ac:dyDescent="0.3">
      <c r="B12" s="41" t="s">
        <v>38</v>
      </c>
      <c r="H12" s="11"/>
      <c r="J12" s="23"/>
      <c r="K12" s="23"/>
      <c r="L12" s="23"/>
      <c r="M12" s="23"/>
      <c r="N12" s="23"/>
      <c r="O12" s="23"/>
      <c r="P12" s="28"/>
      <c r="Q12" s="28"/>
      <c r="R12" s="28"/>
      <c r="S12" s="28"/>
      <c r="T12" s="149"/>
    </row>
    <row r="13" spans="2:38" x14ac:dyDescent="0.3">
      <c r="B13" s="49" t="s">
        <v>39</v>
      </c>
      <c r="H13" s="11"/>
      <c r="I13" s="141">
        <v>4764.76</v>
      </c>
      <c r="J13" s="142">
        <v>4476.3500000000004</v>
      </c>
      <c r="K13" s="142">
        <v>4184.46</v>
      </c>
      <c r="L13" s="142">
        <v>4145.6499999999996</v>
      </c>
      <c r="M13" s="142">
        <v>4446.2</v>
      </c>
      <c r="N13" s="142">
        <v>6787.62</v>
      </c>
      <c r="O13" s="142">
        <v>7146.23</v>
      </c>
      <c r="P13" s="184">
        <f>Schedule!AA18</f>
        <v>7322.7449590951028</v>
      </c>
      <c r="Q13" s="184">
        <f>Schedule!AD18</f>
        <v>7562.6992842261216</v>
      </c>
      <c r="R13" s="184">
        <f>Schedule!AG18</f>
        <v>7867.2348458255738</v>
      </c>
      <c r="S13" s="184">
        <f>Schedule!AJ18</f>
        <v>8238.0608781978881</v>
      </c>
      <c r="T13" s="149"/>
      <c r="AJ13" s="516"/>
      <c r="AK13" s="516"/>
      <c r="AL13" s="516"/>
    </row>
    <row r="14" spans="2:38" x14ac:dyDescent="0.3">
      <c r="B14" s="49" t="s">
        <v>116</v>
      </c>
      <c r="H14" s="11"/>
      <c r="I14" s="141">
        <v>920.09</v>
      </c>
      <c r="J14" s="142">
        <v>845.55</v>
      </c>
      <c r="K14" s="142">
        <v>905.75</v>
      </c>
      <c r="L14" s="142">
        <v>1208.92</v>
      </c>
      <c r="M14" s="142">
        <v>1856.27</v>
      </c>
      <c r="N14" s="142">
        <v>1843.72</v>
      </c>
      <c r="O14" s="142">
        <v>2018.77</v>
      </c>
      <c r="P14" s="143">
        <f>Schedule!M47</f>
        <v>2162.4988794275914</v>
      </c>
      <c r="Q14" s="143">
        <f>Schedule!N47</f>
        <v>2316.4607179250675</v>
      </c>
      <c r="R14" s="143">
        <f>Schedule!O47</f>
        <v>2481.3840639354617</v>
      </c>
      <c r="S14" s="143">
        <f>Schedule!P47</f>
        <v>2658.0493358282115</v>
      </c>
      <c r="T14" s="149"/>
      <c r="U14" s="40"/>
      <c r="V14" s="40"/>
      <c r="W14" s="40"/>
      <c r="X14" s="40"/>
      <c r="AJ14" s="17"/>
    </row>
    <row r="15" spans="2:38" x14ac:dyDescent="0.3">
      <c r="B15" s="7" t="s">
        <v>117</v>
      </c>
      <c r="H15" s="11"/>
      <c r="I15" s="141">
        <v>140.24</v>
      </c>
      <c r="J15" s="142">
        <v>182.98</v>
      </c>
      <c r="K15" s="23">
        <v>426.43</v>
      </c>
      <c r="L15" s="142">
        <v>1019.59</v>
      </c>
      <c r="M15" s="142">
        <v>2698.37</v>
      </c>
      <c r="N15" s="142">
        <v>1254.49</v>
      </c>
      <c r="O15" s="142">
        <v>1848.67</v>
      </c>
      <c r="P15" s="143">
        <f>P13*Q68</f>
        <v>1847.6522267236016</v>
      </c>
      <c r="Q15" s="143">
        <f>Q13*R68</f>
        <v>1908.196755533065</v>
      </c>
      <c r="R15" s="143">
        <f>R13*S68</f>
        <v>1985.0362210134087</v>
      </c>
      <c r="S15" s="143">
        <f>S13*T68</f>
        <v>2078.6018918468299</v>
      </c>
      <c r="T15" s="149"/>
      <c r="U15" s="40"/>
      <c r="V15" s="40"/>
      <c r="W15" s="40"/>
      <c r="X15" s="40"/>
      <c r="AJ15" s="564"/>
      <c r="AK15" s="564"/>
    </row>
    <row r="16" spans="2:38" x14ac:dyDescent="0.3">
      <c r="B16" s="8" t="s">
        <v>192</v>
      </c>
      <c r="H16" s="11"/>
      <c r="I16" s="141">
        <f>319.99+267.47</f>
        <v>587.46</v>
      </c>
      <c r="J16" s="142">
        <f>302.63+233.99</f>
        <v>536.62</v>
      </c>
      <c r="K16" s="142">
        <f>242.86+185.99</f>
        <v>428.85</v>
      </c>
      <c r="L16" s="142">
        <f>228.48+187.41</f>
        <v>415.89</v>
      </c>
      <c r="M16" s="142">
        <f>419.19+424.96</f>
        <v>844.15</v>
      </c>
      <c r="N16" s="23">
        <f>219.58+369.18</f>
        <v>588.76</v>
      </c>
      <c r="O16" s="142">
        <f>219.08+256.2</f>
        <v>475.28</v>
      </c>
      <c r="P16" s="143">
        <f>Schedule!AA37</f>
        <v>690.85502321816455</v>
      </c>
      <c r="Q16" s="143">
        <f>Schedule!AD37</f>
        <v>765.04742772141287</v>
      </c>
      <c r="R16" s="143">
        <f>Schedule!AG37</f>
        <v>848.49359463348867</v>
      </c>
      <c r="S16" s="143">
        <f>Schedule!AJ37</f>
        <v>942.04095514134531</v>
      </c>
      <c r="T16" s="149"/>
      <c r="AJ16" s="564"/>
      <c r="AK16" s="564"/>
    </row>
    <row r="17" spans="2:47" ht="14.4" customHeight="1" x14ac:dyDescent="0.4">
      <c r="B17" s="8" t="s">
        <v>40</v>
      </c>
      <c r="H17" s="11"/>
      <c r="I17" s="141">
        <v>456.63</v>
      </c>
      <c r="J17" s="142">
        <v>483.9</v>
      </c>
      <c r="K17" s="142">
        <v>515.47</v>
      </c>
      <c r="L17" s="142">
        <v>781.73</v>
      </c>
      <c r="M17" s="142">
        <v>583.13</v>
      </c>
      <c r="N17" s="142">
        <v>608</v>
      </c>
      <c r="O17" s="142">
        <v>656.09</v>
      </c>
      <c r="P17" s="143">
        <f t="shared" ref="P17:S21" si="1">O17*(1+Q69)</f>
        <v>696.02768983104716</v>
      </c>
      <c r="Q17" s="143">
        <f t="shared" si="1"/>
        <v>738.39647763499579</v>
      </c>
      <c r="R17" s="143">
        <f t="shared" si="1"/>
        <v>783.34434987222573</v>
      </c>
      <c r="S17" s="143">
        <f t="shared" si="1"/>
        <v>831.02830127538721</v>
      </c>
      <c r="T17" s="149"/>
      <c r="U17" s="143"/>
      <c r="V17" s="143"/>
      <c r="W17" s="143"/>
      <c r="X17" s="143"/>
      <c r="AE17" s="53"/>
      <c r="AF17" s="53"/>
      <c r="AG17" s="53"/>
      <c r="AH17" s="53"/>
      <c r="AI17" s="53"/>
      <c r="AJ17" s="53"/>
      <c r="AK17" s="53"/>
      <c r="AL17" s="53"/>
      <c r="AM17" s="53"/>
      <c r="AN17" s="53"/>
      <c r="AO17" s="53"/>
      <c r="AP17" s="53"/>
      <c r="AQ17" s="53"/>
      <c r="AR17" s="53"/>
      <c r="AS17" s="53"/>
      <c r="AT17" s="53"/>
      <c r="AU17" s="1"/>
    </row>
    <row r="18" spans="2:47" x14ac:dyDescent="0.3">
      <c r="B18" s="7" t="s">
        <v>41</v>
      </c>
      <c r="H18" s="11"/>
      <c r="I18" s="141">
        <f>1049.74+4.21+68.24+248.31</f>
        <v>1370.5</v>
      </c>
      <c r="J18" s="142">
        <f>985.78+2.89+594.06</f>
        <v>1582.73</v>
      </c>
      <c r="K18" s="142">
        <f>551.36+2.4+486.05</f>
        <v>1039.81</v>
      </c>
      <c r="L18" s="142">
        <f>782.98+2.17+363.18</f>
        <v>1148.33</v>
      </c>
      <c r="M18" s="142">
        <f>801.38+1.78+606.51</f>
        <v>1409.67</v>
      </c>
      <c r="N18" s="142">
        <f>871.79+8.71+0+877.84</f>
        <v>1758.3400000000001</v>
      </c>
      <c r="O18" s="142">
        <f>119.82+5.36+1.57+1537.79</f>
        <v>1664.54</v>
      </c>
      <c r="P18" s="143">
        <f t="shared" si="1"/>
        <v>1838.2600842461602</v>
      </c>
      <c r="Q18" s="143">
        <f t="shared" si="1"/>
        <v>2030.1105034019608</v>
      </c>
      <c r="R18" s="143">
        <f t="shared" si="1"/>
        <v>2241.983433869239</v>
      </c>
      <c r="S18" s="143">
        <f t="shared" si="1"/>
        <v>2475.9685294573651</v>
      </c>
      <c r="T18" s="149"/>
      <c r="U18" s="40"/>
      <c r="V18" s="100"/>
      <c r="W18" s="40"/>
      <c r="X18" s="40"/>
      <c r="AE18" s="1"/>
    </row>
    <row r="19" spans="2:47" x14ac:dyDescent="0.3">
      <c r="B19" s="7" t="s">
        <v>42</v>
      </c>
      <c r="H19" s="11"/>
      <c r="I19" s="141">
        <v>16.8</v>
      </c>
      <c r="J19" s="142">
        <v>14.28</v>
      </c>
      <c r="K19" s="142">
        <v>26.02</v>
      </c>
      <c r="L19" s="142">
        <v>18.670000000000002</v>
      </c>
      <c r="M19" s="142">
        <v>23.32</v>
      </c>
      <c r="N19" s="142">
        <v>16.12</v>
      </c>
      <c r="O19" s="142">
        <v>15.74</v>
      </c>
      <c r="P19" s="143">
        <f t="shared" si="1"/>
        <v>15.944780612244898</v>
      </c>
      <c r="Q19" s="143">
        <f t="shared" si="1"/>
        <v>16.152225462047063</v>
      </c>
      <c r="R19" s="143">
        <f t="shared" si="1"/>
        <v>16.362369211680839</v>
      </c>
      <c r="S19" s="143">
        <f t="shared" si="1"/>
        <v>16.57524697438383</v>
      </c>
      <c r="T19" s="149"/>
    </row>
    <row r="20" spans="2:47" x14ac:dyDescent="0.3">
      <c r="B20" s="7" t="s">
        <v>44</v>
      </c>
      <c r="H20" s="11"/>
      <c r="I20" s="141">
        <v>253.09</v>
      </c>
      <c r="J20" s="142">
        <v>152.22999999999999</v>
      </c>
      <c r="K20" s="142">
        <v>172.46</v>
      </c>
      <c r="L20" s="142">
        <v>189.52</v>
      </c>
      <c r="M20" s="142">
        <v>198.11</v>
      </c>
      <c r="N20" s="142">
        <v>221.62</v>
      </c>
      <c r="O20" s="142">
        <v>248.62</v>
      </c>
      <c r="P20" s="143">
        <f t="shared" si="1"/>
        <v>273.21386060535781</v>
      </c>
      <c r="Q20" s="143">
        <f t="shared" si="1"/>
        <v>300.24058252306281</v>
      </c>
      <c r="R20" s="143">
        <f t="shared" si="1"/>
        <v>329.94082801676257</v>
      </c>
      <c r="S20" s="143">
        <f t="shared" si="1"/>
        <v>362.57906601958047</v>
      </c>
      <c r="T20" s="149"/>
      <c r="U20" s="40"/>
      <c r="V20" s="40"/>
      <c r="W20" s="40"/>
      <c r="X20" s="40"/>
      <c r="Y20" s="40"/>
    </row>
    <row r="21" spans="2:47" x14ac:dyDescent="0.3">
      <c r="B21" s="8" t="s">
        <v>43</v>
      </c>
      <c r="H21" s="11"/>
      <c r="I21" s="141">
        <v>65.09</v>
      </c>
      <c r="J21" s="142">
        <v>68.38</v>
      </c>
      <c r="K21" s="142">
        <v>132.87</v>
      </c>
      <c r="L21" s="142">
        <v>334.54</v>
      </c>
      <c r="M21" s="142">
        <v>327.81</v>
      </c>
      <c r="N21" s="142">
        <v>301.02</v>
      </c>
      <c r="O21" s="142">
        <v>275.91000000000003</v>
      </c>
      <c r="P21" s="143">
        <f t="shared" si="1"/>
        <v>292.19924557171407</v>
      </c>
      <c r="Q21" s="143">
        <f t="shared" si="1"/>
        <v>309.45017981471807</v>
      </c>
      <c r="R21" s="143">
        <f t="shared" si="1"/>
        <v>327.71957915223032</v>
      </c>
      <c r="S21" s="143">
        <f t="shared" si="1"/>
        <v>347.06757198855178</v>
      </c>
      <c r="T21" s="149"/>
      <c r="V21" s="40"/>
      <c r="W21" s="40"/>
      <c r="X21" s="40"/>
      <c r="Y21" s="40"/>
    </row>
    <row r="22" spans="2:47" x14ac:dyDescent="0.3">
      <c r="B22" s="9" t="s">
        <v>50</v>
      </c>
      <c r="C22" s="18"/>
      <c r="D22" s="18"/>
      <c r="E22" s="18"/>
      <c r="F22" s="18"/>
      <c r="G22" s="18"/>
      <c r="H22" s="19"/>
      <c r="I22" s="144">
        <f t="shared" ref="I22:S22" si="2">SUM(I13:I21)</f>
        <v>8574.66</v>
      </c>
      <c r="J22" s="144">
        <f t="shared" si="2"/>
        <v>8343.0199999999986</v>
      </c>
      <c r="K22" s="144">
        <f t="shared" si="2"/>
        <v>7832.1200000000008</v>
      </c>
      <c r="L22" s="144">
        <f t="shared" si="2"/>
        <v>9262.840000000002</v>
      </c>
      <c r="M22" s="144">
        <f t="shared" si="2"/>
        <v>12387.029999999999</v>
      </c>
      <c r="N22" s="144">
        <f t="shared" si="2"/>
        <v>13379.690000000002</v>
      </c>
      <c r="O22" s="144">
        <f t="shared" si="2"/>
        <v>14349.850000000002</v>
      </c>
      <c r="P22" s="185">
        <f t="shared" si="2"/>
        <v>15139.396749330983</v>
      </c>
      <c r="Q22" s="185">
        <f t="shared" si="2"/>
        <v>15946.754154242451</v>
      </c>
      <c r="R22" s="185">
        <f t="shared" si="2"/>
        <v>16881.499285530073</v>
      </c>
      <c r="S22" s="185">
        <f t="shared" si="2"/>
        <v>17949.971776729541</v>
      </c>
      <c r="T22" s="149"/>
    </row>
    <row r="23" spans="2:47" x14ac:dyDescent="0.3">
      <c r="B23" s="7"/>
      <c r="H23" s="11"/>
      <c r="I23" s="141"/>
      <c r="J23" s="23"/>
      <c r="K23" s="23"/>
      <c r="L23" s="23"/>
      <c r="M23" s="23"/>
      <c r="N23" s="23"/>
      <c r="O23" s="23"/>
      <c r="P23" s="28"/>
      <c r="Q23" s="28"/>
      <c r="R23" s="28"/>
      <c r="S23" s="28"/>
      <c r="T23" s="149"/>
    </row>
    <row r="24" spans="2:47" x14ac:dyDescent="0.3">
      <c r="B24" s="22" t="s">
        <v>45</v>
      </c>
      <c r="H24" s="11"/>
      <c r="I24" s="141"/>
      <c r="J24" s="142"/>
      <c r="K24" s="142"/>
      <c r="L24" s="142"/>
      <c r="M24" s="142"/>
      <c r="N24" s="142"/>
      <c r="O24" s="142"/>
      <c r="P24" s="143"/>
      <c r="Q24" s="143"/>
      <c r="R24" s="143"/>
      <c r="S24" s="143"/>
      <c r="T24" s="149"/>
    </row>
    <row r="25" spans="2:47" x14ac:dyDescent="0.3">
      <c r="B25" s="49" t="s">
        <v>46</v>
      </c>
      <c r="H25" s="11"/>
      <c r="I25" s="141">
        <v>3389.81</v>
      </c>
      <c r="J25" s="142">
        <v>3798.6</v>
      </c>
      <c r="K25" s="142">
        <v>6152.98</v>
      </c>
      <c r="L25" s="142">
        <v>6210.64</v>
      </c>
      <c r="M25" s="142">
        <v>5923.41</v>
      </c>
      <c r="N25" s="142">
        <v>6719.27</v>
      </c>
      <c r="O25" s="142">
        <v>5743.69</v>
      </c>
      <c r="P25" s="143">
        <f>SOPL!P17*'Ratio Analysis'!$Q$48/'Ratio Analysis'!$G$52</f>
        <v>6729.5664170568334</v>
      </c>
      <c r="Q25" s="143">
        <f>SOPL!Q17*'Ratio Analysis'!$Q$48/'Ratio Analysis'!$G$52</f>
        <v>7344.7418163664897</v>
      </c>
      <c r="R25" s="143">
        <f>SOPL!R17*'Ratio Analysis'!$Q$48/'Ratio Analysis'!$G$52</f>
        <v>8016.4272628524241</v>
      </c>
      <c r="S25" s="143">
        <f>SOPL!S17*'Ratio Analysis'!$Q$48/'Ratio Analysis'!$G$52</f>
        <v>8749.7951940611983</v>
      </c>
      <c r="T25" s="149"/>
    </row>
    <row r="26" spans="2:47" x14ac:dyDescent="0.3">
      <c r="B26" s="8" t="s">
        <v>41</v>
      </c>
      <c r="H26" s="11"/>
      <c r="I26" s="141"/>
      <c r="J26" s="142"/>
      <c r="K26" s="142"/>
      <c r="L26" s="142"/>
      <c r="M26" s="142"/>
      <c r="N26" s="142"/>
      <c r="O26" s="142"/>
      <c r="P26" s="143"/>
      <c r="Q26" s="143"/>
      <c r="R26" s="143"/>
      <c r="S26" s="143"/>
      <c r="T26" s="149"/>
    </row>
    <row r="27" spans="2:47" x14ac:dyDescent="0.3">
      <c r="B27" s="49" t="s">
        <v>75</v>
      </c>
      <c r="H27" s="11"/>
      <c r="I27" s="141">
        <v>1795.22</v>
      </c>
      <c r="J27" s="141">
        <v>2602.17</v>
      </c>
      <c r="K27" s="141">
        <v>3871.44</v>
      </c>
      <c r="L27" s="141">
        <v>4636.9399999999996</v>
      </c>
      <c r="M27" s="141">
        <v>4889.05</v>
      </c>
      <c r="N27" s="141">
        <v>4313.6499999999996</v>
      </c>
      <c r="O27" s="141">
        <v>4461.8</v>
      </c>
      <c r="P27" s="184">
        <f>SOPL!P13*'Ratio Analysis'!$Q$49/'Ratio Analysis'!$G$52</f>
        <v>4940.7674549541916</v>
      </c>
      <c r="Q27" s="184">
        <f>SOPL!Q13*'Ratio Analysis'!$Q$49/'Ratio Analysis'!$G$52</f>
        <v>5392.4219009663148</v>
      </c>
      <c r="R27" s="184">
        <f>SOPL!R13*'Ratio Analysis'!$Q$49/'Ratio Analysis'!$G$52</f>
        <v>5885.5653500825329</v>
      </c>
      <c r="S27" s="184">
        <f>SOPL!S13*'Ratio Analysis'!$Q$49/'Ratio Analysis'!$G$52</f>
        <v>6423.9953443002105</v>
      </c>
      <c r="T27" s="149"/>
    </row>
    <row r="28" spans="2:47" x14ac:dyDescent="0.3">
      <c r="B28" s="49" t="s">
        <v>73</v>
      </c>
      <c r="H28" s="11"/>
      <c r="I28" s="141">
        <v>563.83000000000004</v>
      </c>
      <c r="J28" s="142">
        <v>346.39</v>
      </c>
      <c r="K28" s="142">
        <v>621.72</v>
      </c>
      <c r="L28" s="142">
        <v>523.1</v>
      </c>
      <c r="M28" s="142">
        <v>829.34</v>
      </c>
      <c r="N28" s="142">
        <v>445.28</v>
      </c>
      <c r="O28" s="142">
        <v>672.83</v>
      </c>
      <c r="P28" s="143">
        <f>SOCF!Q64</f>
        <v>635.78825450786087</v>
      </c>
      <c r="Q28" s="143">
        <f>SOCF!R64</f>
        <v>780.7467482862678</v>
      </c>
      <c r="R28" s="143">
        <f>SOCF!S64</f>
        <v>894.29715064078675</v>
      </c>
      <c r="S28" s="143">
        <f>SOCF!T64</f>
        <v>975.35534349154318</v>
      </c>
      <c r="T28" s="149"/>
    </row>
    <row r="29" spans="2:47" x14ac:dyDescent="0.3">
      <c r="B29" s="49" t="s">
        <v>47</v>
      </c>
      <c r="H29" s="11"/>
      <c r="I29" s="141">
        <v>219</v>
      </c>
      <c r="J29" s="142">
        <v>264.36</v>
      </c>
      <c r="K29" s="142">
        <v>242.61</v>
      </c>
      <c r="L29" s="142">
        <v>320.72000000000003</v>
      </c>
      <c r="M29" s="142">
        <v>254.67</v>
      </c>
      <c r="N29" s="142">
        <v>336.7</v>
      </c>
      <c r="O29" s="142">
        <v>400.85</v>
      </c>
      <c r="P29" s="143">
        <f>SOCF!Q65</f>
        <v>378.78174549213918</v>
      </c>
      <c r="Q29" s="143">
        <f>SOCF!R65</f>
        <v>465.1432517137323</v>
      </c>
      <c r="R29" s="143">
        <f>SOCF!S65</f>
        <v>532.79284935921316</v>
      </c>
      <c r="S29" s="143">
        <f>SOCF!T65</f>
        <v>581.08465650845687</v>
      </c>
      <c r="T29" s="149"/>
    </row>
    <row r="30" spans="2:47" x14ac:dyDescent="0.3">
      <c r="B30" s="49" t="s">
        <v>48</v>
      </c>
      <c r="H30" s="11"/>
      <c r="I30" s="141">
        <f>18.67+781.65+512.48</f>
        <v>1312.8</v>
      </c>
      <c r="J30" s="142">
        <f>1197.24+3267.12</f>
        <v>4464.3599999999997</v>
      </c>
      <c r="K30" s="142">
        <f>2180.7+1533.5</f>
        <v>3714.2</v>
      </c>
      <c r="L30" s="142">
        <f>2697+1592.78</f>
        <v>4289.78</v>
      </c>
      <c r="M30" s="142">
        <f>1651.35+3203.41</f>
        <v>4854.76</v>
      </c>
      <c r="N30" s="23">
        <f>1158.11+3244.96</f>
        <v>4403.07</v>
      </c>
      <c r="O30" s="142">
        <f>6285.83+0.46+1822.67</f>
        <v>8108.96</v>
      </c>
      <c r="P30" s="184">
        <f t="shared" ref="P30:S31" si="3">O30*(1+Q74)</f>
        <v>9162.0101582687475</v>
      </c>
      <c r="Q30" s="184">
        <f t="shared" si="3"/>
        <v>10351.812086903834</v>
      </c>
      <c r="R30" s="184">
        <f t="shared" si="3"/>
        <v>11696.124718422847</v>
      </c>
      <c r="S30" s="184">
        <f t="shared" si="3"/>
        <v>13215.013205462639</v>
      </c>
      <c r="T30" s="149"/>
    </row>
    <row r="31" spans="2:47" x14ac:dyDescent="0.3">
      <c r="B31" s="7" t="s">
        <v>49</v>
      </c>
      <c r="H31" s="11"/>
      <c r="I31" s="141">
        <v>285.58999999999997</v>
      </c>
      <c r="J31" s="142">
        <v>537.23</v>
      </c>
      <c r="K31" s="142">
        <v>541.25</v>
      </c>
      <c r="L31" s="142">
        <v>553.98</v>
      </c>
      <c r="M31" s="142">
        <v>785.83</v>
      </c>
      <c r="N31" s="142">
        <v>773.71</v>
      </c>
      <c r="O31" s="142">
        <v>796.51</v>
      </c>
      <c r="P31" s="143">
        <f t="shared" si="3"/>
        <v>814.14420804440545</v>
      </c>
      <c r="Q31" s="143">
        <f t="shared" si="3"/>
        <v>832.16882586816507</v>
      </c>
      <c r="R31" s="143">
        <f t="shared" si="3"/>
        <v>850.59249688727073</v>
      </c>
      <c r="S31" s="143">
        <f t="shared" si="3"/>
        <v>869.42405587726512</v>
      </c>
      <c r="T31" s="149"/>
    </row>
    <row r="32" spans="2:47" x14ac:dyDescent="0.3">
      <c r="B32" s="7" t="s">
        <v>72</v>
      </c>
      <c r="H32" s="11"/>
      <c r="I32" s="141">
        <v>13.86</v>
      </c>
      <c r="J32" s="142">
        <v>13.49</v>
      </c>
      <c r="K32" s="142">
        <v>8.1300000000000008</v>
      </c>
      <c r="L32" s="142">
        <v>0</v>
      </c>
      <c r="M32" s="142">
        <v>0</v>
      </c>
      <c r="N32" s="142">
        <v>0</v>
      </c>
      <c r="O32" s="142">
        <v>0</v>
      </c>
      <c r="P32" s="143">
        <v>0</v>
      </c>
      <c r="Q32" s="143">
        <v>0</v>
      </c>
      <c r="R32" s="143">
        <v>0</v>
      </c>
      <c r="S32" s="143">
        <v>0</v>
      </c>
      <c r="T32" s="149"/>
    </row>
    <row r="33" spans="2:27" x14ac:dyDescent="0.3">
      <c r="B33" s="9" t="s">
        <v>51</v>
      </c>
      <c r="C33" s="18"/>
      <c r="D33" s="18"/>
      <c r="E33" s="18"/>
      <c r="F33" s="18"/>
      <c r="G33" s="18"/>
      <c r="H33" s="19"/>
      <c r="I33" s="144">
        <f>SUM(I25:I32)</f>
        <v>7580.11</v>
      </c>
      <c r="J33" s="144">
        <f>SUM(J25:J32)</f>
        <v>12026.6</v>
      </c>
      <c r="K33" s="144">
        <f>SUM(K25:K32)</f>
        <v>15152.33</v>
      </c>
      <c r="L33" s="144">
        <f>SUM(L25:L32)</f>
        <v>16535.16</v>
      </c>
      <c r="M33" s="144">
        <f t="shared" ref="M33:S33" si="4">SUM(M25:M31)</f>
        <v>17537.060000000001</v>
      </c>
      <c r="N33" s="144">
        <f t="shared" si="4"/>
        <v>16991.68</v>
      </c>
      <c r="O33" s="144">
        <f t="shared" si="4"/>
        <v>20184.64</v>
      </c>
      <c r="P33" s="185">
        <f t="shared" si="4"/>
        <v>22661.058238324182</v>
      </c>
      <c r="Q33" s="185">
        <f t="shared" si="4"/>
        <v>25167.034630104805</v>
      </c>
      <c r="R33" s="185">
        <f t="shared" si="4"/>
        <v>27875.799828245075</v>
      </c>
      <c r="S33" s="185">
        <f t="shared" si="4"/>
        <v>30814.66779970131</v>
      </c>
      <c r="T33" s="149"/>
    </row>
    <row r="34" spans="2:27" x14ac:dyDescent="0.3">
      <c r="B34" s="569" t="s">
        <v>52</v>
      </c>
      <c r="C34" s="570"/>
      <c r="D34" s="570"/>
      <c r="E34" s="570"/>
      <c r="F34" s="570"/>
      <c r="G34" s="570"/>
      <c r="H34" s="571"/>
      <c r="I34" s="144">
        <f t="shared" ref="I34:S34" si="5">SUM(I22+I33)</f>
        <v>16154.77</v>
      </c>
      <c r="J34" s="144">
        <f t="shared" si="5"/>
        <v>20369.62</v>
      </c>
      <c r="K34" s="144">
        <f t="shared" si="5"/>
        <v>22984.45</v>
      </c>
      <c r="L34" s="144">
        <f t="shared" si="5"/>
        <v>25798</v>
      </c>
      <c r="M34" s="144">
        <f t="shared" si="5"/>
        <v>29924.09</v>
      </c>
      <c r="N34" s="144">
        <f t="shared" si="5"/>
        <v>30371.370000000003</v>
      </c>
      <c r="O34" s="144">
        <f t="shared" si="5"/>
        <v>34534.490000000005</v>
      </c>
      <c r="P34" s="185">
        <f t="shared" si="5"/>
        <v>37800.454987655161</v>
      </c>
      <c r="Q34" s="185">
        <f t="shared" si="5"/>
        <v>41113.788784347256</v>
      </c>
      <c r="R34" s="185">
        <f t="shared" si="5"/>
        <v>44757.299113775152</v>
      </c>
      <c r="S34" s="185">
        <f t="shared" si="5"/>
        <v>48764.639576430855</v>
      </c>
      <c r="T34" s="149"/>
    </row>
    <row r="35" spans="2:27" ht="6.6" customHeight="1" x14ac:dyDescent="0.3">
      <c r="B35" s="7"/>
      <c r="H35" s="11"/>
      <c r="I35" s="141"/>
      <c r="J35" s="23"/>
      <c r="K35" s="23"/>
      <c r="L35" s="23"/>
      <c r="M35" s="23"/>
      <c r="N35" s="23"/>
      <c r="O35" s="23"/>
      <c r="P35" s="28"/>
      <c r="Q35" s="28"/>
      <c r="R35" s="28"/>
      <c r="S35" s="28"/>
      <c r="T35" s="149"/>
    </row>
    <row r="36" spans="2:27" ht="18" x14ac:dyDescent="0.35">
      <c r="B36" s="50" t="s">
        <v>53</v>
      </c>
      <c r="C36" s="1"/>
      <c r="D36" s="1"/>
      <c r="E36" s="1"/>
      <c r="F36" s="1"/>
      <c r="G36" s="1"/>
      <c r="H36" s="11"/>
      <c r="I36" s="141"/>
      <c r="J36" s="23"/>
      <c r="K36" s="23"/>
      <c r="L36" s="23"/>
      <c r="M36" s="23"/>
      <c r="N36" s="23"/>
      <c r="O36" s="23"/>
      <c r="P36" s="28"/>
      <c r="Q36" s="28"/>
      <c r="R36" s="28"/>
      <c r="S36" s="28"/>
      <c r="T36" s="149"/>
    </row>
    <row r="37" spans="2:27" x14ac:dyDescent="0.3">
      <c r="B37" s="22" t="s">
        <v>54</v>
      </c>
      <c r="H37" s="11"/>
      <c r="I37" s="141"/>
      <c r="J37" s="23"/>
      <c r="K37" s="23"/>
      <c r="L37" s="23"/>
      <c r="M37" s="23"/>
      <c r="N37" s="23"/>
      <c r="O37" s="23"/>
      <c r="P37" s="28"/>
      <c r="Q37" s="28"/>
      <c r="R37" s="28"/>
      <c r="S37" s="28"/>
      <c r="T37" s="149"/>
    </row>
    <row r="38" spans="2:27" x14ac:dyDescent="0.3">
      <c r="B38" s="7" t="s">
        <v>55</v>
      </c>
      <c r="H38" s="11"/>
      <c r="I38" s="141">
        <v>95.92</v>
      </c>
      <c r="J38" s="23">
        <v>95.92</v>
      </c>
      <c r="K38" s="23">
        <v>95.92</v>
      </c>
      <c r="L38" s="23">
        <v>95.92</v>
      </c>
      <c r="M38" s="23">
        <v>95.92</v>
      </c>
      <c r="N38" s="23">
        <v>95.92</v>
      </c>
      <c r="O38" s="23">
        <v>95.92</v>
      </c>
      <c r="P38" s="28">
        <v>95.92</v>
      </c>
      <c r="Q38" s="28">
        <v>95.92</v>
      </c>
      <c r="R38" s="28">
        <v>95.92</v>
      </c>
      <c r="S38" s="28">
        <v>95.92</v>
      </c>
      <c r="T38" s="149"/>
      <c r="U38" s="40"/>
      <c r="V38" s="40"/>
      <c r="W38" s="40"/>
      <c r="X38" s="40"/>
      <c r="Y38" s="40"/>
      <c r="Z38" s="40"/>
      <c r="AA38" s="40"/>
    </row>
    <row r="39" spans="2:27" x14ac:dyDescent="0.3">
      <c r="B39" s="7" t="s">
        <v>56</v>
      </c>
      <c r="H39" s="11"/>
      <c r="I39" s="141">
        <f>10034.24</f>
        <v>10034.24</v>
      </c>
      <c r="J39" s="23">
        <f>12710.37</f>
        <v>12710.37</v>
      </c>
      <c r="K39" s="23">
        <f>13715.64</f>
        <v>13715.64</v>
      </c>
      <c r="L39" s="23">
        <f>15896.31</f>
        <v>15896.31</v>
      </c>
      <c r="M39" s="23">
        <f>18632.38</f>
        <v>18632.38</v>
      </c>
      <c r="N39" s="23">
        <f>19303.89</f>
        <v>19303.89</v>
      </c>
      <c r="O39" s="23">
        <f>21275.67</f>
        <v>21275.67</v>
      </c>
      <c r="P39" s="28">
        <f>O39+(SOPL!P32-SOPL!P33)*(1-Q76)</f>
        <v>23067.188678176542</v>
      </c>
      <c r="Q39" s="28">
        <f>P39+(SOPL!Q32-SOPL!Q33)*(1-R76)</f>
        <v>25019.721188704578</v>
      </c>
      <c r="R39" s="28">
        <f>Q39+(SOPL!R32-SOPL!R33)*(1-S76)</f>
        <v>27144.84666094515</v>
      </c>
      <c r="S39" s="28">
        <f>R39+(SOPL!S32-SOPL!S33)*(1-T76)</f>
        <v>29455.11050029641</v>
      </c>
      <c r="T39" s="149"/>
      <c r="V39" s="40"/>
      <c r="W39" s="40"/>
      <c r="X39" s="40"/>
      <c r="Y39" s="40"/>
      <c r="Z39" s="40"/>
      <c r="AA39" s="40"/>
    </row>
    <row r="40" spans="2:27" x14ac:dyDescent="0.3">
      <c r="B40" s="7" t="s">
        <v>113</v>
      </c>
      <c r="H40" s="75"/>
      <c r="I40" s="141">
        <v>403.53</v>
      </c>
      <c r="J40" s="141">
        <v>422.86</v>
      </c>
      <c r="K40" s="141">
        <v>387.53</v>
      </c>
      <c r="L40" s="141">
        <v>453.66</v>
      </c>
      <c r="M40" s="141">
        <v>695.38</v>
      </c>
      <c r="N40" s="141">
        <v>659.24</v>
      </c>
      <c r="O40" s="141">
        <v>643.39</v>
      </c>
      <c r="P40" s="28">
        <f>O40+(SOPL!P32-SOPL!P33)*'SOFP '!Q76</f>
        <v>705.04297837020954</v>
      </c>
      <c r="Q40" s="28">
        <f>P40+(SOPL!Q32-SOPL!Q33)*'SOFP '!R76</f>
        <v>772.2370557220803</v>
      </c>
      <c r="R40" s="28">
        <f>Q40+(SOPL!R32-SOPL!R33)*'SOFP '!S76</f>
        <v>845.37071398088517</v>
      </c>
      <c r="S40" s="28">
        <f>R40+(SOPL!S32-SOPL!S33)*'SOFP '!T76</f>
        <v>924.87568830913187</v>
      </c>
      <c r="T40" s="149"/>
    </row>
    <row r="41" spans="2:27" x14ac:dyDescent="0.3">
      <c r="B41" s="9" t="s">
        <v>57</v>
      </c>
      <c r="C41" s="18"/>
      <c r="D41" s="18"/>
      <c r="E41" s="18"/>
      <c r="F41" s="18"/>
      <c r="G41" s="18"/>
      <c r="H41" s="19"/>
      <c r="I41" s="144">
        <f t="shared" ref="I41:S41" si="6">SUM(I38:I40)</f>
        <v>10533.69</v>
      </c>
      <c r="J41" s="144">
        <f t="shared" si="6"/>
        <v>13229.150000000001</v>
      </c>
      <c r="K41" s="144">
        <f t="shared" si="6"/>
        <v>14199.09</v>
      </c>
      <c r="L41" s="144">
        <f t="shared" si="6"/>
        <v>16445.89</v>
      </c>
      <c r="M41" s="144">
        <f t="shared" si="6"/>
        <v>19423.68</v>
      </c>
      <c r="N41" s="144">
        <f t="shared" si="6"/>
        <v>20059.05</v>
      </c>
      <c r="O41" s="144">
        <f t="shared" si="6"/>
        <v>22014.979999999996</v>
      </c>
      <c r="P41" s="185">
        <f t="shared" si="6"/>
        <v>23868.15165654675</v>
      </c>
      <c r="Q41" s="185">
        <f t="shared" si="6"/>
        <v>25887.878244426658</v>
      </c>
      <c r="R41" s="185">
        <f t="shared" si="6"/>
        <v>28086.137374926035</v>
      </c>
      <c r="S41" s="185">
        <f t="shared" si="6"/>
        <v>30475.906188605542</v>
      </c>
      <c r="T41" s="149"/>
    </row>
    <row r="42" spans="2:27" x14ac:dyDescent="0.3">
      <c r="B42" s="7"/>
      <c r="H42" s="11"/>
      <c r="I42" s="141"/>
      <c r="J42" s="23"/>
      <c r="K42" s="23"/>
      <c r="L42" s="23"/>
      <c r="M42" s="23"/>
      <c r="N42" s="23"/>
      <c r="O42" s="23"/>
      <c r="P42" s="187"/>
      <c r="Q42" s="187"/>
      <c r="R42" s="187"/>
      <c r="S42" s="187"/>
      <c r="T42" s="149"/>
    </row>
    <row r="43" spans="2:27" x14ac:dyDescent="0.3">
      <c r="B43" s="22" t="s">
        <v>58</v>
      </c>
      <c r="H43" s="11"/>
      <c r="I43" s="141"/>
      <c r="J43" s="23"/>
      <c r="K43" s="23"/>
      <c r="L43" s="23"/>
      <c r="M43" s="23"/>
      <c r="N43" s="23"/>
      <c r="P43" s="213"/>
      <c r="Q43" s="213"/>
      <c r="R43" s="213"/>
      <c r="S43" s="213"/>
      <c r="T43" s="149"/>
    </row>
    <row r="44" spans="2:27" x14ac:dyDescent="0.3">
      <c r="B44" s="22" t="s">
        <v>59</v>
      </c>
      <c r="H44" s="11"/>
      <c r="I44" s="141"/>
      <c r="J44" s="23"/>
      <c r="K44" s="23"/>
      <c r="L44" s="23"/>
      <c r="M44" s="23"/>
      <c r="N44" s="23"/>
      <c r="O44" s="23"/>
      <c r="P44" s="28"/>
      <c r="Q44" s="28"/>
      <c r="R44" s="28"/>
      <c r="S44" s="28"/>
      <c r="T44" s="149"/>
    </row>
    <row r="45" spans="2:27" x14ac:dyDescent="0.3">
      <c r="B45" s="7" t="s">
        <v>60</v>
      </c>
      <c r="H45" s="11"/>
      <c r="I45" s="141"/>
      <c r="J45" s="23"/>
      <c r="K45" s="23"/>
      <c r="L45" s="23"/>
      <c r="M45" s="23"/>
      <c r="N45" s="23"/>
      <c r="O45" s="23"/>
      <c r="P45" s="28"/>
      <c r="Q45" s="28"/>
      <c r="R45" s="28"/>
      <c r="S45" s="28"/>
      <c r="T45" s="149"/>
      <c r="W45" s="136"/>
    </row>
    <row r="46" spans="2:27" x14ac:dyDescent="0.3">
      <c r="B46" s="49" t="s">
        <v>112</v>
      </c>
      <c r="H46" s="11"/>
      <c r="I46" s="141">
        <f>589.94</f>
        <v>589.94000000000005</v>
      </c>
      <c r="J46" s="23">
        <v>561.36</v>
      </c>
      <c r="K46" s="23">
        <f>598.37</f>
        <v>598.37</v>
      </c>
      <c r="L46" s="23">
        <f>728.94</f>
        <v>728.94</v>
      </c>
      <c r="M46" s="23">
        <f>1095.29</f>
        <v>1095.29</v>
      </c>
      <c r="N46" s="23">
        <f>1123.3</f>
        <v>1123.3</v>
      </c>
      <c r="O46" s="23">
        <f>1306.94</f>
        <v>1306.94</v>
      </c>
      <c r="P46" s="28">
        <f>O46*(1+Q77)</f>
        <v>1556.3643137026991</v>
      </c>
      <c r="Q46" s="28">
        <f>P46*(1+R77)</f>
        <v>1853.3902680821409</v>
      </c>
      <c r="R46" s="28">
        <f>Q46*(1+S77)</f>
        <v>2207.1024474015048</v>
      </c>
      <c r="S46" s="28">
        <f>R46*(1+T77)</f>
        <v>2628.3191927874195</v>
      </c>
      <c r="T46" s="149"/>
      <c r="W46" s="1"/>
      <c r="X46" s="1"/>
      <c r="Y46" s="1"/>
      <c r="Z46" s="1"/>
      <c r="AA46" s="1"/>
    </row>
    <row r="47" spans="2:27" x14ac:dyDescent="0.3">
      <c r="B47" s="49" t="s">
        <v>61</v>
      </c>
      <c r="H47" s="11"/>
      <c r="I47" s="141">
        <v>18.63</v>
      </c>
      <c r="J47" s="23">
        <v>14.53</v>
      </c>
      <c r="K47" s="23">
        <v>44.54</v>
      </c>
      <c r="L47" s="23">
        <v>76.150000000000006</v>
      </c>
      <c r="M47" s="23">
        <v>54.38</v>
      </c>
      <c r="N47" s="23">
        <v>259.62</v>
      </c>
      <c r="O47" s="23">
        <v>1247.17</v>
      </c>
      <c r="P47" s="28">
        <f>SUM(P38:P39)*'Ratio Analysis'!$Q28</f>
        <v>1338.2179510008266</v>
      </c>
      <c r="Q47" s="28">
        <f>SUM(Q38:Q39)*'Ratio Analysis'!$Q28</f>
        <v>1451.0229329142917</v>
      </c>
      <c r="R47" s="28">
        <f>SUM(R38:R39)*'Ratio Analysis'!$Q28</f>
        <v>1573.7992447899444</v>
      </c>
      <c r="S47" s="28">
        <f>SUM(S38:S39)*'Ratio Analysis'!$Q28</f>
        <v>1707.2716808227112</v>
      </c>
      <c r="T47" s="149"/>
      <c r="Z47" s="1"/>
      <c r="AA47" s="1"/>
    </row>
    <row r="48" spans="2:27" x14ac:dyDescent="0.3">
      <c r="B48" s="49" t="s">
        <v>62</v>
      </c>
      <c r="H48" s="11"/>
      <c r="I48" s="141">
        <v>2.94</v>
      </c>
      <c r="J48" s="23">
        <f>3.38</f>
        <v>3.38</v>
      </c>
      <c r="K48" s="23">
        <v>2.1800000000000002</v>
      </c>
      <c r="L48" s="23">
        <v>46.38</v>
      </c>
      <c r="M48" s="23">
        <v>240.58</v>
      </c>
      <c r="N48" s="23">
        <v>79.930000000000007</v>
      </c>
      <c r="O48" s="23">
        <v>113.66</v>
      </c>
      <c r="P48" s="28">
        <f>O48*(1+Q$78)</f>
        <v>113.97549741531618</v>
      </c>
      <c r="Q48" s="28">
        <f>P48*(1+R$78)</f>
        <v>114.29187058832261</v>
      </c>
      <c r="R48" s="28">
        <f>Q48*(1+S$78)</f>
        <v>114.60912194994735</v>
      </c>
      <c r="S48" s="28">
        <f>R48*(1+T$78)</f>
        <v>114.9272539378663</v>
      </c>
      <c r="T48" s="149"/>
      <c r="Z48" s="1"/>
      <c r="AA48" s="1"/>
    </row>
    <row r="49" spans="2:27" x14ac:dyDescent="0.3">
      <c r="B49" s="7" t="s">
        <v>63</v>
      </c>
      <c r="H49" s="11"/>
      <c r="I49" s="141">
        <v>443.8</v>
      </c>
      <c r="J49" s="23">
        <v>415.59</v>
      </c>
      <c r="K49" s="23">
        <v>348.85</v>
      </c>
      <c r="L49" s="23">
        <v>334.84</v>
      </c>
      <c r="M49" s="23">
        <v>352.17</v>
      </c>
      <c r="N49" s="23">
        <v>404.91</v>
      </c>
      <c r="O49" s="23">
        <v>403.26</v>
      </c>
      <c r="P49" s="28">
        <f t="shared" ref="P49:S50" si="7">O49*(1+Q79)</f>
        <v>412.87393675963614</v>
      </c>
      <c r="Q49" s="28">
        <f t="shared" si="7"/>
        <v>422.71707497743398</v>
      </c>
      <c r="R49" s="28">
        <f t="shared" si="7"/>
        <v>432.79487894026551</v>
      </c>
      <c r="S49" s="28">
        <f t="shared" si="7"/>
        <v>443.11294320656049</v>
      </c>
      <c r="T49" s="149"/>
      <c r="Z49" s="269"/>
      <c r="AA49" s="269"/>
    </row>
    <row r="50" spans="2:27" x14ac:dyDescent="0.3">
      <c r="B50" s="7" t="s">
        <v>64</v>
      </c>
      <c r="H50" s="11"/>
      <c r="I50" s="141">
        <f>4.64+180.75</f>
        <v>185.39</v>
      </c>
      <c r="J50" s="23">
        <f>215.21+4.54</f>
        <v>219.75</v>
      </c>
      <c r="K50" s="23">
        <f>218.32+2.11</f>
        <v>220.43</v>
      </c>
      <c r="L50" s="23">
        <f>230.7+39.17</f>
        <v>269.87</v>
      </c>
      <c r="M50" s="23">
        <f>34.47+222.56</f>
        <v>257.02999999999997</v>
      </c>
      <c r="N50" s="23">
        <f>45.55+257.78</f>
        <v>303.33</v>
      </c>
      <c r="O50" s="23">
        <f>273.8+37.65</f>
        <v>311.45</v>
      </c>
      <c r="P50" s="28">
        <f t="shared" si="7"/>
        <v>314.17601046719915</v>
      </c>
      <c r="Q50" s="28">
        <f t="shared" si="7"/>
        <v>316.92588072912383</v>
      </c>
      <c r="R50" s="28">
        <f t="shared" si="7"/>
        <v>319.69981962202445</v>
      </c>
      <c r="S50" s="28">
        <f t="shared" si="7"/>
        <v>322.49803781002032</v>
      </c>
      <c r="T50" s="149"/>
      <c r="Z50" s="269"/>
      <c r="AA50" s="269"/>
    </row>
    <row r="51" spans="2:27" x14ac:dyDescent="0.3">
      <c r="B51" s="9" t="s">
        <v>65</v>
      </c>
      <c r="C51" s="18"/>
      <c r="D51" s="18"/>
      <c r="E51" s="18"/>
      <c r="F51" s="18"/>
      <c r="G51" s="18"/>
      <c r="H51" s="19"/>
      <c r="I51" s="144">
        <f t="shared" ref="I51:S51" si="8">SUM(I46:I50)</f>
        <v>1240.7000000000003</v>
      </c>
      <c r="J51" s="144">
        <f t="shared" si="8"/>
        <v>1214.6099999999999</v>
      </c>
      <c r="K51" s="144">
        <f t="shared" si="8"/>
        <v>1214.3699999999999</v>
      </c>
      <c r="L51" s="144">
        <f t="shared" si="8"/>
        <v>1456.1799999999998</v>
      </c>
      <c r="M51" s="144">
        <f t="shared" si="8"/>
        <v>1999.45</v>
      </c>
      <c r="N51" s="144">
        <f t="shared" si="8"/>
        <v>2171.09</v>
      </c>
      <c r="O51" s="144">
        <f t="shared" si="8"/>
        <v>3382.4799999999996</v>
      </c>
      <c r="P51" s="185">
        <f t="shared" si="8"/>
        <v>3735.607709345677</v>
      </c>
      <c r="Q51" s="185">
        <f t="shared" si="8"/>
        <v>4158.348027291313</v>
      </c>
      <c r="R51" s="185">
        <f t="shared" si="8"/>
        <v>4648.0055127036867</v>
      </c>
      <c r="S51" s="185">
        <f t="shared" si="8"/>
        <v>5216.129108564578</v>
      </c>
      <c r="T51" s="149"/>
      <c r="Z51" s="269"/>
      <c r="AA51" s="269"/>
    </row>
    <row r="52" spans="2:27" x14ac:dyDescent="0.3">
      <c r="B52" s="22"/>
      <c r="C52" s="1"/>
      <c r="D52" s="1"/>
      <c r="E52" s="1"/>
      <c r="F52" s="1"/>
      <c r="G52" s="1"/>
      <c r="H52" s="78"/>
      <c r="I52" s="26"/>
      <c r="J52" s="26"/>
      <c r="K52" s="26"/>
      <c r="L52" s="26"/>
      <c r="M52" s="26"/>
      <c r="N52" s="26"/>
      <c r="O52" s="26"/>
      <c r="P52" s="170"/>
      <c r="Q52" s="170"/>
      <c r="R52" s="170"/>
      <c r="S52" s="170"/>
      <c r="T52" s="149"/>
      <c r="Z52" s="269"/>
      <c r="AA52" s="269"/>
    </row>
    <row r="53" spans="2:27" ht="16.2" x14ac:dyDescent="0.45">
      <c r="B53" s="22" t="s">
        <v>66</v>
      </c>
      <c r="H53" s="11"/>
      <c r="I53" s="141"/>
      <c r="J53" s="23"/>
      <c r="K53" s="23"/>
      <c r="L53" s="23"/>
      <c r="M53" s="23"/>
      <c r="N53" s="23"/>
      <c r="O53" s="23"/>
      <c r="P53" s="28"/>
      <c r="Q53" s="28"/>
      <c r="R53" s="28"/>
      <c r="S53" s="28"/>
      <c r="T53" s="149"/>
      <c r="Z53" s="270"/>
      <c r="AA53" s="270"/>
    </row>
    <row r="54" spans="2:27" x14ac:dyDescent="0.3">
      <c r="B54" s="7" t="s">
        <v>60</v>
      </c>
      <c r="H54" s="11"/>
      <c r="I54" s="141"/>
      <c r="J54" s="141"/>
      <c r="K54" s="141"/>
      <c r="L54" s="141"/>
      <c r="M54" s="141"/>
      <c r="N54" s="141"/>
      <c r="O54" s="141"/>
      <c r="P54" s="28"/>
      <c r="Q54" s="28"/>
      <c r="R54" s="28"/>
      <c r="S54" s="28"/>
      <c r="T54" s="149"/>
      <c r="Z54" s="269"/>
      <c r="AA54" s="269"/>
    </row>
    <row r="55" spans="2:27" x14ac:dyDescent="0.3">
      <c r="B55" s="49" t="s">
        <v>74</v>
      </c>
      <c r="H55" s="11"/>
      <c r="I55" s="141">
        <f>60.72+2075.85</f>
        <v>2136.5699999999997</v>
      </c>
      <c r="J55" s="141">
        <f>91.53+3287.19</f>
        <v>3378.7200000000003</v>
      </c>
      <c r="K55" s="141">
        <f>4080.72+83.58</f>
        <v>4164.3</v>
      </c>
      <c r="L55" s="141">
        <f>143.88+3491.56</f>
        <v>3635.44</v>
      </c>
      <c r="M55" s="141">
        <f>250.27+3581.07</f>
        <v>3831.34</v>
      </c>
      <c r="N55" s="141">
        <f>208.58+3639.42</f>
        <v>3848</v>
      </c>
      <c r="O55" s="141">
        <f>258.56+3604.48</f>
        <v>3863.04</v>
      </c>
      <c r="P55" s="184">
        <f>(SOPL!P$14+SOPL!P$15)*'Ratio Analysis'!$Q$50/'Ratio Analysis'!$G$52</f>
        <v>4455.3932857834443</v>
      </c>
      <c r="Q55" s="184">
        <f>(SOPL!Q$14+SOPL!Q$15)*'Ratio Analysis'!$Q$50/'Ratio Analysis'!$G$52</f>
        <v>4862.6778229738939</v>
      </c>
      <c r="R55" s="184">
        <f>(SOPL!R$14+SOPL!R$15)*'Ratio Analysis'!$Q$50/'Ratio Analysis'!$G$52</f>
        <v>5307.3755409199939</v>
      </c>
      <c r="S55" s="184">
        <f>(SOPL!S$14+SOPL!S$15)*'Ratio Analysis'!$Q$50/'Ratio Analysis'!$G$52</f>
        <v>5792.9109163395406</v>
      </c>
      <c r="T55" s="149"/>
      <c r="Z55" s="269"/>
      <c r="AA55" s="269"/>
    </row>
    <row r="56" spans="2:27" x14ac:dyDescent="0.3">
      <c r="B56" s="49" t="s">
        <v>61</v>
      </c>
      <c r="H56" s="11"/>
      <c r="I56" s="141">
        <v>321.48</v>
      </c>
      <c r="J56" s="141">
        <v>325.7</v>
      </c>
      <c r="K56" s="141">
        <v>731.12</v>
      </c>
      <c r="L56" s="141">
        <f>896.06</f>
        <v>896.06</v>
      </c>
      <c r="M56" s="141">
        <v>1052.76</v>
      </c>
      <c r="N56" s="141">
        <v>604.16</v>
      </c>
      <c r="O56" s="141">
        <v>1046.0899999999999</v>
      </c>
      <c r="P56" s="220">
        <f>P47/Q84</f>
        <v>1122.458378859702</v>
      </c>
      <c r="Q56" s="220">
        <f>Q47/R84</f>
        <v>1217.0759238053442</v>
      </c>
      <c r="R56" s="220">
        <f>R47/S84</f>
        <v>1320.0571309302763</v>
      </c>
      <c r="S56" s="220">
        <f>S47/T84</f>
        <v>1432.0099365698579</v>
      </c>
      <c r="T56" s="149"/>
      <c r="Z56" s="189"/>
      <c r="AA56" s="189"/>
    </row>
    <row r="57" spans="2:27" x14ac:dyDescent="0.3">
      <c r="B57" s="49" t="s">
        <v>112</v>
      </c>
      <c r="H57" s="11"/>
      <c r="I57" s="141">
        <v>173.87</v>
      </c>
      <c r="J57" s="141">
        <v>183.18</v>
      </c>
      <c r="K57" s="141">
        <f>212.85</f>
        <v>212.85</v>
      </c>
      <c r="L57" s="141">
        <v>231.47</v>
      </c>
      <c r="M57" s="141">
        <v>271.95</v>
      </c>
      <c r="N57" s="141">
        <v>303.24</v>
      </c>
      <c r="O57" s="141">
        <v>328.73</v>
      </c>
      <c r="P57" s="220">
        <f>P46*Q85</f>
        <v>458.69929691746324</v>
      </c>
      <c r="Q57" s="220">
        <f>Q46*R85</f>
        <v>546.24023784019016</v>
      </c>
      <c r="R57" s="220">
        <f>R46*S85</f>
        <v>650.48802001847582</v>
      </c>
      <c r="S57" s="220">
        <f>S46*T85</f>
        <v>774.63107782138627</v>
      </c>
      <c r="T57" s="149"/>
      <c r="Z57" s="1"/>
      <c r="AA57" s="1"/>
    </row>
    <row r="58" spans="2:27" x14ac:dyDescent="0.3">
      <c r="B58" s="49" t="s">
        <v>62</v>
      </c>
      <c r="H58" s="11"/>
      <c r="I58" s="141">
        <f>1374.34</f>
        <v>1374.34</v>
      </c>
      <c r="J58" s="23">
        <v>1603.02</v>
      </c>
      <c r="K58" s="23">
        <f>1886.61</f>
        <v>1886.61</v>
      </c>
      <c r="L58" s="23">
        <v>2436.02</v>
      </c>
      <c r="M58" s="23">
        <v>2675.44</v>
      </c>
      <c r="N58" s="23">
        <v>2742.04</v>
      </c>
      <c r="O58" s="23">
        <v>3044.72</v>
      </c>
      <c r="P58" s="184">
        <f t="shared" ref="P58:S60" si="9">O58*(1+Q81)</f>
        <v>3269.5067295911763</v>
      </c>
      <c r="Q58" s="184">
        <f t="shared" si="9"/>
        <v>3510.8890981246186</v>
      </c>
      <c r="R58" s="184">
        <f t="shared" si="9"/>
        <v>3770.0923346536747</v>
      </c>
      <c r="S58" s="184">
        <f t="shared" si="9"/>
        <v>4048.432124901567</v>
      </c>
      <c r="T58" s="149"/>
    </row>
    <row r="59" spans="2:27" x14ac:dyDescent="0.3">
      <c r="B59" s="7" t="s">
        <v>67</v>
      </c>
      <c r="H59" s="11"/>
      <c r="I59" s="141">
        <f>62.46+131.61</f>
        <v>194.07000000000002</v>
      </c>
      <c r="J59" s="23">
        <f>229.58+84.43</f>
        <v>314.01</v>
      </c>
      <c r="K59" s="23">
        <f>376.09+69.7</f>
        <v>445.78999999999996</v>
      </c>
      <c r="L59" s="23">
        <f>459.04+74.21</f>
        <v>533.25</v>
      </c>
      <c r="M59" s="23">
        <f>484.48+62.48</f>
        <v>546.96</v>
      </c>
      <c r="N59" s="23">
        <f>450.58+67.15</f>
        <v>517.73</v>
      </c>
      <c r="O59" s="23">
        <f>457.86+216.58</f>
        <v>674.44</v>
      </c>
      <c r="P59" s="28">
        <f t="shared" si="9"/>
        <v>684.7714564720178</v>
      </c>
      <c r="Q59" s="28">
        <f t="shared" si="9"/>
        <v>695.26117608506092</v>
      </c>
      <c r="R59" s="28">
        <f t="shared" si="9"/>
        <v>705.91158320416218</v>
      </c>
      <c r="S59" s="28">
        <f t="shared" si="9"/>
        <v>716.7251393321601</v>
      </c>
      <c r="T59" s="149"/>
    </row>
    <row r="60" spans="2:27" x14ac:dyDescent="0.3">
      <c r="B60" s="7" t="s">
        <v>68</v>
      </c>
      <c r="H60" s="11"/>
      <c r="I60" s="141">
        <v>180.05</v>
      </c>
      <c r="J60" s="23">
        <v>121.23</v>
      </c>
      <c r="K60" s="23">
        <v>130.12</v>
      </c>
      <c r="L60" s="23">
        <v>163.69</v>
      </c>
      <c r="M60" s="23">
        <v>122.51</v>
      </c>
      <c r="N60" s="23">
        <v>126.09</v>
      </c>
      <c r="O60" s="23">
        <v>180.01</v>
      </c>
      <c r="P60" s="28">
        <f t="shared" si="9"/>
        <v>205.86076145979462</v>
      </c>
      <c r="Q60" s="28">
        <f t="shared" si="9"/>
        <v>235.42388261100194</v>
      </c>
      <c r="R60" s="28">
        <f t="shared" si="9"/>
        <v>269.23248564036533</v>
      </c>
      <c r="S60" s="28">
        <f t="shared" si="9"/>
        <v>307.89625300615978</v>
      </c>
      <c r="T60" s="149"/>
    </row>
    <row r="61" spans="2:27" x14ac:dyDescent="0.3">
      <c r="B61" s="9" t="s">
        <v>69</v>
      </c>
      <c r="C61" s="18"/>
      <c r="D61" s="18"/>
      <c r="E61" s="18"/>
      <c r="F61" s="18"/>
      <c r="G61" s="18"/>
      <c r="H61" s="19"/>
      <c r="I61" s="144">
        <f t="shared" ref="I61:S61" si="10">SUM(I55:I60)</f>
        <v>4380.3799999999992</v>
      </c>
      <c r="J61" s="144">
        <f t="shared" si="10"/>
        <v>5925.86</v>
      </c>
      <c r="K61" s="144">
        <f t="shared" si="10"/>
        <v>7570.79</v>
      </c>
      <c r="L61" s="144">
        <f t="shared" si="10"/>
        <v>7895.9299999999994</v>
      </c>
      <c r="M61" s="144">
        <f t="shared" si="10"/>
        <v>8500.9600000000009</v>
      </c>
      <c r="N61" s="144">
        <f t="shared" si="10"/>
        <v>8141.26</v>
      </c>
      <c r="O61" s="144">
        <f t="shared" si="10"/>
        <v>9137.0300000000007</v>
      </c>
      <c r="P61" s="185">
        <f t="shared" si="10"/>
        <v>10196.689909083598</v>
      </c>
      <c r="Q61" s="185">
        <f t="shared" si="10"/>
        <v>11067.56814144011</v>
      </c>
      <c r="R61" s="185">
        <f t="shared" si="10"/>
        <v>12023.157095366949</v>
      </c>
      <c r="S61" s="185">
        <f t="shared" si="10"/>
        <v>13072.605447970673</v>
      </c>
      <c r="T61" s="149"/>
    </row>
    <row r="62" spans="2:27" x14ac:dyDescent="0.3">
      <c r="B62" s="569" t="s">
        <v>70</v>
      </c>
      <c r="C62" s="570"/>
      <c r="D62" s="570"/>
      <c r="E62" s="570"/>
      <c r="F62" s="570"/>
      <c r="G62" s="570"/>
      <c r="H62" s="571"/>
      <c r="I62" s="144">
        <f t="shared" ref="I62:S62" si="11">I51+I61+I41</f>
        <v>16154.77</v>
      </c>
      <c r="J62" s="144">
        <f t="shared" si="11"/>
        <v>20369.620000000003</v>
      </c>
      <c r="K62" s="144">
        <f t="shared" si="11"/>
        <v>22984.25</v>
      </c>
      <c r="L62" s="144">
        <f t="shared" si="11"/>
        <v>25798</v>
      </c>
      <c r="M62" s="144">
        <f t="shared" si="11"/>
        <v>29924.090000000004</v>
      </c>
      <c r="N62" s="144">
        <f t="shared" si="11"/>
        <v>30371.4</v>
      </c>
      <c r="O62" s="144">
        <f t="shared" si="11"/>
        <v>34534.49</v>
      </c>
      <c r="P62" s="185">
        <f t="shared" si="11"/>
        <v>37800.449274976025</v>
      </c>
      <c r="Q62" s="185">
        <f t="shared" si="11"/>
        <v>41113.794413158081</v>
      </c>
      <c r="R62" s="185">
        <f t="shared" si="11"/>
        <v>44757.299982996672</v>
      </c>
      <c r="S62" s="185">
        <f t="shared" si="11"/>
        <v>48764.640745140794</v>
      </c>
      <c r="T62" s="150"/>
    </row>
    <row r="63" spans="2:27" ht="15" thickBot="1" x14ac:dyDescent="0.35">
      <c r="O63" s="100"/>
    </row>
    <row r="64" spans="2:27" ht="22.2" thickTop="1" thickBot="1" x14ac:dyDescent="0.45">
      <c r="B64" s="523" t="s">
        <v>25</v>
      </c>
      <c r="C64" s="523"/>
      <c r="D64" s="523"/>
      <c r="E64" s="523"/>
      <c r="F64" s="523"/>
      <c r="G64" s="523"/>
      <c r="H64" s="523"/>
      <c r="I64" s="523"/>
      <c r="J64" s="523"/>
      <c r="K64" s="523"/>
      <c r="L64" s="523"/>
      <c r="M64" s="523"/>
      <c r="N64" s="523"/>
      <c r="O64" s="523"/>
      <c r="P64" s="523"/>
      <c r="Q64" s="523"/>
      <c r="R64" s="523"/>
      <c r="S64" s="523"/>
      <c r="T64" s="523"/>
      <c r="V64" s="40"/>
    </row>
    <row r="65" spans="2:22" ht="15" thickTop="1" x14ac:dyDescent="0.3">
      <c r="I65" s="40"/>
      <c r="J65" s="40"/>
      <c r="K65" s="40"/>
      <c r="L65" s="40"/>
      <c r="M65" s="40"/>
      <c r="N65" s="40"/>
      <c r="O65" s="40"/>
      <c r="P65" s="58"/>
      <c r="Q65" s="58"/>
      <c r="R65" s="58"/>
      <c r="S65" s="58"/>
      <c r="V65" s="40"/>
    </row>
    <row r="66" spans="2:22" x14ac:dyDescent="0.3">
      <c r="B66" s="38" t="s">
        <v>18</v>
      </c>
      <c r="C66" s="39"/>
      <c r="D66" s="39"/>
      <c r="E66" s="39"/>
      <c r="F66" s="39"/>
      <c r="G66" s="39"/>
      <c r="H66" s="79"/>
      <c r="I66" s="54">
        <f>J66-1</f>
        <v>20</v>
      </c>
      <c r="J66" s="54">
        <v>21</v>
      </c>
      <c r="K66" s="33">
        <f>J66+1</f>
        <v>22</v>
      </c>
      <c r="L66" s="33">
        <f>K66+1</f>
        <v>23</v>
      </c>
      <c r="M66" s="33">
        <f>L66+1</f>
        <v>24</v>
      </c>
      <c r="N66" s="33">
        <f>M66+1</f>
        <v>25</v>
      </c>
      <c r="O66" s="33">
        <f>N66+1</f>
        <v>26</v>
      </c>
      <c r="P66" s="35" t="s">
        <v>131</v>
      </c>
      <c r="Q66" s="36">
        <f>O66+1</f>
        <v>27</v>
      </c>
      <c r="R66" s="36">
        <f>Q66+1</f>
        <v>28</v>
      </c>
      <c r="S66" s="36">
        <f>R66+1</f>
        <v>29</v>
      </c>
      <c r="T66" s="37">
        <f>S66+1</f>
        <v>30</v>
      </c>
    </row>
    <row r="67" spans="2:22" ht="6.6" customHeight="1" x14ac:dyDescent="0.3">
      <c r="B67" s="7"/>
      <c r="H67" s="11"/>
      <c r="K67" s="16"/>
      <c r="L67" s="16"/>
      <c r="M67" s="16"/>
      <c r="N67" s="16"/>
      <c r="O67" s="16"/>
      <c r="P67" s="149"/>
      <c r="T67" s="11"/>
    </row>
    <row r="68" spans="2:22" x14ac:dyDescent="0.3">
      <c r="B68" s="7" t="s">
        <v>119</v>
      </c>
      <c r="H68" s="11"/>
      <c r="I68" s="91">
        <f t="shared" ref="I68:O68" si="12">I15/I13</f>
        <v>2.9432752121827752E-2</v>
      </c>
      <c r="J68" s="45">
        <f t="shared" si="12"/>
        <v>4.0877053849676631E-2</v>
      </c>
      <c r="K68" s="45">
        <f t="shared" si="12"/>
        <v>0.10190801202544654</v>
      </c>
      <c r="L68" s="45">
        <f t="shared" si="12"/>
        <v>0.24594213211438498</v>
      </c>
      <c r="M68" s="45">
        <f t="shared" si="12"/>
        <v>0.60689352705681254</v>
      </c>
      <c r="N68" s="45">
        <f t="shared" si="12"/>
        <v>0.18482030520270729</v>
      </c>
      <c r="O68" s="45">
        <f t="shared" si="12"/>
        <v>0.25869164580485099</v>
      </c>
      <c r="P68" s="462">
        <f>MEDIAN(L68:O68)</f>
        <v>0.25231688895961801</v>
      </c>
      <c r="Q68" s="46">
        <f>P68</f>
        <v>0.25231688895961801</v>
      </c>
      <c r="R68" s="47">
        <f>Q68</f>
        <v>0.25231688895961801</v>
      </c>
      <c r="S68" s="47">
        <f>R68</f>
        <v>0.25231688895961801</v>
      </c>
      <c r="T68" s="48">
        <f>S68</f>
        <v>0.25231688895961801</v>
      </c>
    </row>
    <row r="69" spans="2:22" x14ac:dyDescent="0.3">
      <c r="B69" s="8" t="s">
        <v>132</v>
      </c>
      <c r="H69" s="11"/>
      <c r="I69" s="91">
        <v>0</v>
      </c>
      <c r="J69" s="45">
        <f t="shared" ref="J69:O70" si="13">J17/I17-1</f>
        <v>5.9720123513566703E-2</v>
      </c>
      <c r="K69" s="45">
        <f t="shared" si="13"/>
        <v>6.5240752221533471E-2</v>
      </c>
      <c r="L69" s="45">
        <f t="shared" si="13"/>
        <v>0.51653830484800278</v>
      </c>
      <c r="M69" s="45">
        <f t="shared" si="13"/>
        <v>-0.25405191050618503</v>
      </c>
      <c r="N69" s="45">
        <f t="shared" si="13"/>
        <v>4.2649151990122203E-2</v>
      </c>
      <c r="O69" s="45">
        <f t="shared" si="13"/>
        <v>7.9095394736842239E-2</v>
      </c>
      <c r="P69" s="462">
        <f>MEDIAN(L69:O69)</f>
        <v>6.0872273363482221E-2</v>
      </c>
      <c r="Q69" s="46">
        <f t="shared" ref="Q69:T70" si="14">P69</f>
        <v>6.0872273363482221E-2</v>
      </c>
      <c r="R69" s="47">
        <f t="shared" si="14"/>
        <v>6.0872273363482221E-2</v>
      </c>
      <c r="S69" s="47">
        <f t="shared" si="14"/>
        <v>6.0872273363482221E-2</v>
      </c>
      <c r="T69" s="48">
        <f t="shared" si="14"/>
        <v>6.0872273363482221E-2</v>
      </c>
    </row>
    <row r="70" spans="2:22" x14ac:dyDescent="0.3">
      <c r="B70" s="7" t="s">
        <v>183</v>
      </c>
      <c r="H70" s="11"/>
      <c r="I70" s="91">
        <v>0</v>
      </c>
      <c r="J70" s="45">
        <f t="shared" si="13"/>
        <v>0.15485589201021521</v>
      </c>
      <c r="K70" s="45">
        <f t="shared" si="13"/>
        <v>-0.34302755365728843</v>
      </c>
      <c r="L70" s="45">
        <f t="shared" si="13"/>
        <v>0.10436522056914233</v>
      </c>
      <c r="M70" s="45">
        <f t="shared" si="13"/>
        <v>0.2275826635200684</v>
      </c>
      <c r="N70" s="45">
        <f t="shared" si="13"/>
        <v>0.2473415763973128</v>
      </c>
      <c r="O70" s="45">
        <f t="shared" si="13"/>
        <v>-5.3345769305140123E-2</v>
      </c>
      <c r="P70" s="462">
        <f>MEDIAN(I70:O70)</f>
        <v>0.10436522056914233</v>
      </c>
      <c r="Q70" s="46">
        <f t="shared" si="14"/>
        <v>0.10436522056914233</v>
      </c>
      <c r="R70" s="47">
        <f t="shared" si="14"/>
        <v>0.10436522056914233</v>
      </c>
      <c r="S70" s="47">
        <f t="shared" si="14"/>
        <v>0.10436522056914233</v>
      </c>
      <c r="T70" s="48">
        <f t="shared" si="14"/>
        <v>0.10436522056914233</v>
      </c>
    </row>
    <row r="71" spans="2:22" x14ac:dyDescent="0.3">
      <c r="B71" s="7" t="s">
        <v>133</v>
      </c>
      <c r="H71" s="11"/>
      <c r="I71" s="91">
        <f>'SOFP '!I19/SOPL!I29</f>
        <v>1.965257062642569E-2</v>
      </c>
      <c r="J71" s="45">
        <f>'SOFP '!J19/SOPL!J29</f>
        <v>1.3010204081632653E-2</v>
      </c>
      <c r="K71" s="45">
        <f>'SOFP '!K19/SOPL!K29</f>
        <v>2.3592133537641329E-2</v>
      </c>
      <c r="L71" s="45">
        <f>'SOFP '!L19/SOPL!L29</f>
        <v>1.2500836960160697E-2</v>
      </c>
      <c r="M71" s="45">
        <f>'SOFP '!M19/SOPL!M29</f>
        <v>1.3027350732928138E-2</v>
      </c>
      <c r="N71" s="45">
        <f>'SOFP '!N19/SOPL!N29</f>
        <v>1.1569156571166103E-2</v>
      </c>
      <c r="O71" s="45">
        <f>'SOFP '!O19/SOPL!O29</f>
        <v>9.7839937839937843E-3</v>
      </c>
      <c r="P71" s="462">
        <f>MEDIAN(I71:O71)</f>
        <v>1.3010204081632653E-2</v>
      </c>
      <c r="Q71" s="46">
        <f t="shared" ref="Q71:T74" si="15">P71</f>
        <v>1.3010204081632653E-2</v>
      </c>
      <c r="R71" s="47">
        <f t="shared" si="15"/>
        <v>1.3010204081632653E-2</v>
      </c>
      <c r="S71" s="47">
        <f t="shared" si="15"/>
        <v>1.3010204081632653E-2</v>
      </c>
      <c r="T71" s="48">
        <f t="shared" si="15"/>
        <v>1.3010204081632653E-2</v>
      </c>
    </row>
    <row r="72" spans="2:22" x14ac:dyDescent="0.3">
      <c r="B72" s="7" t="s">
        <v>134</v>
      </c>
      <c r="H72" s="11"/>
      <c r="I72" s="91">
        <v>0</v>
      </c>
      <c r="J72" s="45">
        <f t="shared" ref="J72:O72" si="16">J20/I20-1</f>
        <v>-0.39851436247975036</v>
      </c>
      <c r="K72" s="45">
        <f t="shared" si="16"/>
        <v>0.13289102016685295</v>
      </c>
      <c r="L72" s="45">
        <f t="shared" si="16"/>
        <v>9.8921489040937116E-2</v>
      </c>
      <c r="M72" s="45">
        <f t="shared" si="16"/>
        <v>4.5325031658927761E-2</v>
      </c>
      <c r="N72" s="45">
        <f t="shared" si="16"/>
        <v>0.118671445156731</v>
      </c>
      <c r="O72" s="45">
        <f t="shared" si="16"/>
        <v>0.12183015973287614</v>
      </c>
      <c r="P72" s="462">
        <f>MEDIAN(I72:O72)</f>
        <v>9.8921489040937116E-2</v>
      </c>
      <c r="Q72" s="46">
        <f t="shared" si="15"/>
        <v>9.8921489040937116E-2</v>
      </c>
      <c r="R72" s="47">
        <f t="shared" si="15"/>
        <v>9.8921489040937116E-2</v>
      </c>
      <c r="S72" s="47">
        <f t="shared" si="15"/>
        <v>9.8921489040937116E-2</v>
      </c>
      <c r="T72" s="48">
        <f t="shared" si="15"/>
        <v>9.8921489040937116E-2</v>
      </c>
    </row>
    <row r="73" spans="2:22" x14ac:dyDescent="0.3">
      <c r="B73" s="8" t="s">
        <v>179</v>
      </c>
      <c r="H73" s="11"/>
      <c r="I73" s="91">
        <f t="shared" ref="I73:O73" si="17">I21/I13</f>
        <v>1.3660709038860299E-2</v>
      </c>
      <c r="J73" s="91">
        <f t="shared" si="17"/>
        <v>1.5275838573838059E-2</v>
      </c>
      <c r="K73" s="91">
        <f t="shared" si="17"/>
        <v>3.1753201129894895E-2</v>
      </c>
      <c r="L73" s="91">
        <f t="shared" si="17"/>
        <v>8.0696633820993097E-2</v>
      </c>
      <c r="M73" s="91">
        <f t="shared" si="17"/>
        <v>7.3728127389681083E-2</v>
      </c>
      <c r="N73" s="91">
        <f t="shared" si="17"/>
        <v>4.434838721083384E-2</v>
      </c>
      <c r="O73" s="91">
        <f t="shared" si="17"/>
        <v>3.860916875051601E-2</v>
      </c>
      <c r="P73" s="462">
        <f>MEDIAN(L73:O73)</f>
        <v>5.9038257300257461E-2</v>
      </c>
      <c r="Q73" s="46">
        <f t="shared" si="15"/>
        <v>5.9038257300257461E-2</v>
      </c>
      <c r="R73" s="47">
        <f t="shared" si="15"/>
        <v>5.9038257300257461E-2</v>
      </c>
      <c r="S73" s="47">
        <f t="shared" si="15"/>
        <v>5.9038257300257461E-2</v>
      </c>
      <c r="T73" s="48">
        <f t="shared" si="15"/>
        <v>5.9038257300257461E-2</v>
      </c>
    </row>
    <row r="74" spans="2:22" x14ac:dyDescent="0.3">
      <c r="B74" s="8" t="s">
        <v>282</v>
      </c>
      <c r="H74" s="11"/>
      <c r="I74" s="91">
        <f>I30/SOPL!I$13</f>
        <v>6.495392417589213E-2</v>
      </c>
      <c r="J74" s="91">
        <f>J30/SOPL!J$13</f>
        <v>0.20560968903581711</v>
      </c>
      <c r="K74" s="91">
        <f>K30/SOPL!K$13</f>
        <v>0.12763012486048725</v>
      </c>
      <c r="L74" s="91">
        <f>L30/SOPL!L$13</f>
        <v>0.12438258566093886</v>
      </c>
      <c r="M74" s="91">
        <f>M30/SOPL!M$13</f>
        <v>0.13677410702940973</v>
      </c>
      <c r="N74" s="91">
        <f>N30/SOPL!N$13</f>
        <v>0.12986254196206998</v>
      </c>
      <c r="O74" s="91">
        <f>O30/SOPL!O$13</f>
        <v>0.22788514015187922</v>
      </c>
      <c r="P74" s="462">
        <f>MEDIAN(I74:O74)</f>
        <v>0.12986254196206998</v>
      </c>
      <c r="Q74" s="46">
        <f t="shared" si="15"/>
        <v>0.12986254196206998</v>
      </c>
      <c r="R74" s="47">
        <f t="shared" si="15"/>
        <v>0.12986254196206998</v>
      </c>
      <c r="S74" s="47">
        <f t="shared" si="15"/>
        <v>0.12986254196206998</v>
      </c>
      <c r="T74" s="48">
        <f t="shared" si="15"/>
        <v>0.12986254196206998</v>
      </c>
    </row>
    <row r="75" spans="2:22" x14ac:dyDescent="0.3">
      <c r="B75" s="7" t="s">
        <v>135</v>
      </c>
      <c r="H75" s="11"/>
      <c r="I75" s="91">
        <f>I31/SOPL!I$13</f>
        <v>1.4130249242377388E-2</v>
      </c>
      <c r="J75" s="91">
        <f>J31/SOPL!J$13</f>
        <v>2.4742559569728258E-2</v>
      </c>
      <c r="K75" s="91">
        <f>K31/SOPL!K$13</f>
        <v>1.859883826415883E-2</v>
      </c>
      <c r="L75" s="91">
        <f>L31/SOPL!L$13</f>
        <v>1.6062703636188082E-2</v>
      </c>
      <c r="M75" s="91">
        <f>M31/SOPL!M$13</f>
        <v>2.2139342939078564E-2</v>
      </c>
      <c r="N75" s="91">
        <f>N31/SOPL!N$13</f>
        <v>2.2819520775611831E-2</v>
      </c>
      <c r="O75" s="91">
        <f>O31/SOPL!O$13</f>
        <v>2.2384225965151303E-2</v>
      </c>
      <c r="P75" s="462">
        <f>MEDIAN(I75:O75)</f>
        <v>2.2139342939078564E-2</v>
      </c>
      <c r="Q75" s="46">
        <f t="shared" ref="Q75:T76" si="18">P75</f>
        <v>2.2139342939078564E-2</v>
      </c>
      <c r="R75" s="47">
        <f t="shared" si="18"/>
        <v>2.2139342939078564E-2</v>
      </c>
      <c r="S75" s="47">
        <f t="shared" si="18"/>
        <v>2.2139342939078564E-2</v>
      </c>
      <c r="T75" s="48">
        <f t="shared" si="18"/>
        <v>2.2139342939078564E-2</v>
      </c>
    </row>
    <row r="76" spans="2:22" x14ac:dyDescent="0.3">
      <c r="B76" s="7" t="s">
        <v>287</v>
      </c>
      <c r="I76" s="397">
        <f t="shared" ref="I76:O76" si="19">I40/I39</f>
        <v>4.0215302803201833E-2</v>
      </c>
      <c r="J76" s="100">
        <f t="shared" si="19"/>
        <v>3.3268897758287133E-2</v>
      </c>
      <c r="K76" s="100">
        <f t="shared" si="19"/>
        <v>2.8254605691021343E-2</v>
      </c>
      <c r="L76" s="100">
        <f t="shared" si="19"/>
        <v>2.8538698603638207E-2</v>
      </c>
      <c r="M76" s="100">
        <f t="shared" si="19"/>
        <v>3.7321050772901793E-2</v>
      </c>
      <c r="N76" s="100">
        <f t="shared" si="19"/>
        <v>3.4150629743538739E-2</v>
      </c>
      <c r="O76" s="100">
        <f t="shared" si="19"/>
        <v>3.0240645770497475E-2</v>
      </c>
      <c r="P76" s="463">
        <f>MEDIAN(I76:O76)</f>
        <v>3.3268897758287133E-2</v>
      </c>
      <c r="Q76" s="46">
        <f t="shared" si="18"/>
        <v>3.3268897758287133E-2</v>
      </c>
      <c r="R76" s="47">
        <f t="shared" si="18"/>
        <v>3.3268897758287133E-2</v>
      </c>
      <c r="S76" s="47">
        <f t="shared" si="18"/>
        <v>3.3268897758287133E-2</v>
      </c>
      <c r="T76" s="48">
        <f t="shared" si="18"/>
        <v>3.3268897758287133E-2</v>
      </c>
    </row>
    <row r="77" spans="2:22" x14ac:dyDescent="0.3">
      <c r="B77" s="8" t="s">
        <v>173</v>
      </c>
      <c r="H77" s="11"/>
      <c r="I77" s="91">
        <v>0</v>
      </c>
      <c r="J77" s="91">
        <f t="shared" ref="J77:O77" si="20">J46/I46-1</f>
        <v>-4.844560463775982E-2</v>
      </c>
      <c r="K77" s="91">
        <f t="shared" si="20"/>
        <v>6.5929172010830817E-2</v>
      </c>
      <c r="L77" s="91">
        <f t="shared" si="20"/>
        <v>0.21820946905760663</v>
      </c>
      <c r="M77" s="91">
        <f t="shared" si="20"/>
        <v>0.50257908744203905</v>
      </c>
      <c r="N77" s="91">
        <f t="shared" si="20"/>
        <v>2.5573135881821196E-2</v>
      </c>
      <c r="O77" s="91">
        <f t="shared" si="20"/>
        <v>0.16348259592272774</v>
      </c>
      <c r="P77" s="462">
        <f>MEDIAN(L77:O77)</f>
        <v>0.19084603249016718</v>
      </c>
      <c r="Q77" s="46">
        <f t="shared" ref="Q77:T80" si="21">P77</f>
        <v>0.19084603249016718</v>
      </c>
      <c r="R77" s="47">
        <f t="shared" si="21"/>
        <v>0.19084603249016718</v>
      </c>
      <c r="S77" s="47">
        <f t="shared" si="21"/>
        <v>0.19084603249016718</v>
      </c>
      <c r="T77" s="48">
        <f t="shared" si="21"/>
        <v>0.19084603249016718</v>
      </c>
    </row>
    <row r="78" spans="2:22" x14ac:dyDescent="0.3">
      <c r="B78" s="8" t="s">
        <v>182</v>
      </c>
      <c r="H78" s="11"/>
      <c r="I78" s="91">
        <f>I48/SOPL!I13</f>
        <v>1.4546354134454821E-4</v>
      </c>
      <c r="J78" s="91">
        <f>J48/SOPL!J13</f>
        <v>1.5566861743700371E-4</v>
      </c>
      <c r="K78" s="91">
        <f>K48/SOPL!K13</f>
        <v>7.4910794301831407E-5</v>
      </c>
      <c r="L78" s="91">
        <f>L48/SOPL!L13</f>
        <v>1.3447925821264365E-3</v>
      </c>
      <c r="M78" s="91">
        <f>M48/SOPL!M13</f>
        <v>6.7779075936061509E-3</v>
      </c>
      <c r="N78" s="91">
        <f>N48/SOPL!N13</f>
        <v>2.3574262909806694E-3</v>
      </c>
      <c r="O78" s="91">
        <f>O48/SOPL!O13</f>
        <v>3.1941734858308081E-3</v>
      </c>
      <c r="P78" s="462">
        <f>MEDIAN(L78:O78)</f>
        <v>2.7757998884057385E-3</v>
      </c>
      <c r="Q78" s="46">
        <f t="shared" si="21"/>
        <v>2.7757998884057385E-3</v>
      </c>
      <c r="R78" s="47">
        <f t="shared" si="21"/>
        <v>2.7757998884057385E-3</v>
      </c>
      <c r="S78" s="47">
        <f t="shared" si="21"/>
        <v>2.7757998884057385E-3</v>
      </c>
      <c r="T78" s="48">
        <f t="shared" si="21"/>
        <v>2.7757998884057385E-3</v>
      </c>
    </row>
    <row r="79" spans="2:22" x14ac:dyDescent="0.3">
      <c r="B79" s="7" t="s">
        <v>136</v>
      </c>
      <c r="H79" s="11"/>
      <c r="I79" s="91">
        <v>0</v>
      </c>
      <c r="J79" s="91">
        <f t="shared" ref="J79:O79" si="22">J49/I49-1</f>
        <v>-6.3564668769716115E-2</v>
      </c>
      <c r="K79" s="91">
        <f t="shared" si="22"/>
        <v>-0.1605909670588801</v>
      </c>
      <c r="L79" s="91">
        <f t="shared" si="22"/>
        <v>-4.016052744732701E-2</v>
      </c>
      <c r="M79" s="91">
        <f t="shared" si="22"/>
        <v>5.1756062597061447E-2</v>
      </c>
      <c r="N79" s="91">
        <f t="shared" si="22"/>
        <v>0.14975721952466148</v>
      </c>
      <c r="O79" s="91">
        <f t="shared" si="22"/>
        <v>-4.0749796251019488E-3</v>
      </c>
      <c r="P79" s="462">
        <f>MEDIAN(L79:O79)</f>
        <v>2.3840541485979749E-2</v>
      </c>
      <c r="Q79" s="46">
        <f t="shared" si="21"/>
        <v>2.3840541485979749E-2</v>
      </c>
      <c r="R79" s="47">
        <f t="shared" si="21"/>
        <v>2.3840541485979749E-2</v>
      </c>
      <c r="S79" s="47">
        <f t="shared" si="21"/>
        <v>2.3840541485979749E-2</v>
      </c>
      <c r="T79" s="48">
        <f t="shared" si="21"/>
        <v>2.3840541485979749E-2</v>
      </c>
    </row>
    <row r="80" spans="2:22" x14ac:dyDescent="0.3">
      <c r="B80" s="7" t="s">
        <v>137</v>
      </c>
      <c r="H80" s="11"/>
      <c r="I80" s="91">
        <f>I50/SOPL!I13</f>
        <v>9.1726142618591116E-3</v>
      </c>
      <c r="J80" s="91">
        <f>J50/SOPL!J13</f>
        <v>1.0120762923604013E-2</v>
      </c>
      <c r="K80" s="91">
        <f>K50/SOPL!K13</f>
        <v>7.5745809119049066E-3</v>
      </c>
      <c r="L80" s="91">
        <f>L50/SOPL!L13</f>
        <v>7.8249067300228854E-3</v>
      </c>
      <c r="M80" s="91">
        <f>M50/SOPL!M13</f>
        <v>7.2413566746387424E-3</v>
      </c>
      <c r="N80" s="91">
        <f>N50/SOPL!N13</f>
        <v>8.9463044769569171E-3</v>
      </c>
      <c r="O80" s="91">
        <f>O50/SOPL!O13</f>
        <v>8.7526423734119764E-3</v>
      </c>
      <c r="P80" s="462">
        <f>MEDIAN(I80:O80)</f>
        <v>8.7526423734119764E-3</v>
      </c>
      <c r="Q80" s="46">
        <f t="shared" si="21"/>
        <v>8.7526423734119764E-3</v>
      </c>
      <c r="R80" s="47">
        <f t="shared" si="21"/>
        <v>8.7526423734119764E-3</v>
      </c>
      <c r="S80" s="47">
        <f t="shared" si="21"/>
        <v>8.7526423734119764E-3</v>
      </c>
      <c r="T80" s="48">
        <f t="shared" si="21"/>
        <v>8.7526423734119764E-3</v>
      </c>
    </row>
    <row r="81" spans="2:20" x14ac:dyDescent="0.3">
      <c r="B81" s="8" t="s">
        <v>181</v>
      </c>
      <c r="H81" s="11"/>
      <c r="I81" s="91">
        <f>I58/SOPL!I$13</f>
        <v>6.7998763065124618E-2</v>
      </c>
      <c r="J81" s="91">
        <f>J58/SOPL!J$13</f>
        <v>7.3828374888717657E-2</v>
      </c>
      <c r="K81" s="91">
        <f>K58/SOPL!K$13</f>
        <v>6.4829107173292724E-2</v>
      </c>
      <c r="L81" s="91">
        <f>L58/SOPL!L$13</f>
        <v>7.0632635315041867E-2</v>
      </c>
      <c r="M81" s="91">
        <f>M58/SOPL!M$13</f>
        <v>7.5375696617497878E-2</v>
      </c>
      <c r="N81" s="91">
        <f>N58/SOPL!N$13</f>
        <v>8.08727284739226E-2</v>
      </c>
      <c r="O81" s="91">
        <f>O58/SOPL!O$13</f>
        <v>8.5565404678680082E-2</v>
      </c>
      <c r="P81" s="462">
        <f>MEDIAN(I81:O81)</f>
        <v>7.3828374888717657E-2</v>
      </c>
      <c r="Q81" s="46">
        <f t="shared" ref="Q81:T85" si="23">P81</f>
        <v>7.3828374888717657E-2</v>
      </c>
      <c r="R81" s="47">
        <f t="shared" si="23"/>
        <v>7.3828374888717657E-2</v>
      </c>
      <c r="S81" s="47">
        <f t="shared" si="23"/>
        <v>7.3828374888717657E-2</v>
      </c>
      <c r="T81" s="48">
        <f t="shared" si="23"/>
        <v>7.3828374888717657E-2</v>
      </c>
    </row>
    <row r="82" spans="2:20" x14ac:dyDescent="0.3">
      <c r="B82" s="7" t="s">
        <v>138</v>
      </c>
      <c r="H82" s="11"/>
      <c r="I82" s="91">
        <f>I59/SOPL!I$13</f>
        <v>9.6020780505906376E-3</v>
      </c>
      <c r="J82" s="91">
        <f>J59/SOPL!J$13</f>
        <v>1.4461983006329449E-2</v>
      </c>
      <c r="K82" s="91">
        <f>K59/SOPL!K$13</f>
        <v>1.5318570179730925E-2</v>
      </c>
      <c r="L82" s="91">
        <f>L59/SOPL!L$13</f>
        <v>1.5461635282857314E-2</v>
      </c>
      <c r="M82" s="91">
        <f>M59/SOPL!M$13</f>
        <v>1.5409611511342673E-2</v>
      </c>
      <c r="N82" s="91">
        <f>N59/SOPL!N$13</f>
        <v>1.5269739942817738E-2</v>
      </c>
      <c r="O82" s="91">
        <f>O59/SOPL!O$13</f>
        <v>1.8953707247789289E-2</v>
      </c>
      <c r="P82" s="462">
        <f>MEDIAN(I82:O82)</f>
        <v>1.5318570179730925E-2</v>
      </c>
      <c r="Q82" s="46">
        <f t="shared" si="23"/>
        <v>1.5318570179730925E-2</v>
      </c>
      <c r="R82" s="47">
        <f t="shared" si="23"/>
        <v>1.5318570179730925E-2</v>
      </c>
      <c r="S82" s="47">
        <f t="shared" si="23"/>
        <v>1.5318570179730925E-2</v>
      </c>
      <c r="T82" s="48">
        <f t="shared" si="23"/>
        <v>1.5318570179730925E-2</v>
      </c>
    </row>
    <row r="83" spans="2:20" x14ac:dyDescent="0.3">
      <c r="B83" s="7" t="s">
        <v>139</v>
      </c>
      <c r="H83" s="11"/>
      <c r="I83" s="91">
        <v>0</v>
      </c>
      <c r="J83" s="91">
        <f t="shared" ref="J83:O83" si="24">J60/I60-1</f>
        <v>-0.32668703138017219</v>
      </c>
      <c r="K83" s="91">
        <f t="shared" si="24"/>
        <v>7.3331683576672413E-2</v>
      </c>
      <c r="L83" s="91">
        <f t="shared" si="24"/>
        <v>0.25799262219489694</v>
      </c>
      <c r="M83" s="91">
        <f t="shared" si="24"/>
        <v>-0.25157309548536866</v>
      </c>
      <c r="N83" s="91">
        <f t="shared" si="24"/>
        <v>2.9222104318014752E-2</v>
      </c>
      <c r="O83" s="91">
        <f t="shared" si="24"/>
        <v>0.42763105718137817</v>
      </c>
      <c r="P83" s="462">
        <f>MEDIAN(L83:O83)</f>
        <v>0.14360736325645584</v>
      </c>
      <c r="Q83" s="46">
        <f t="shared" si="23"/>
        <v>0.14360736325645584</v>
      </c>
      <c r="R83" s="47">
        <f t="shared" si="23"/>
        <v>0.14360736325645584</v>
      </c>
      <c r="S83" s="47">
        <f t="shared" si="23"/>
        <v>0.14360736325645584</v>
      </c>
      <c r="T83" s="48">
        <f t="shared" si="23"/>
        <v>0.14360736325645584</v>
      </c>
    </row>
    <row r="84" spans="2:20" x14ac:dyDescent="0.3">
      <c r="B84" s="7" t="s">
        <v>172</v>
      </c>
      <c r="H84" s="11"/>
      <c r="I84" s="91">
        <f t="shared" ref="I84:O84" si="25">I47/I56</f>
        <v>5.7950727883538625E-2</v>
      </c>
      <c r="J84" s="91">
        <f t="shared" si="25"/>
        <v>4.461160577218299E-2</v>
      </c>
      <c r="K84" s="91">
        <f t="shared" si="25"/>
        <v>6.0920231972863552E-2</v>
      </c>
      <c r="L84" s="91">
        <f t="shared" si="25"/>
        <v>8.4983148449880599E-2</v>
      </c>
      <c r="M84" s="91">
        <f t="shared" si="25"/>
        <v>5.1654698126828533E-2</v>
      </c>
      <c r="N84" s="91">
        <f t="shared" si="25"/>
        <v>0.42972060381355937</v>
      </c>
      <c r="O84" s="101">
        <f t="shared" si="25"/>
        <v>1.1922205546367906</v>
      </c>
      <c r="P84" s="463">
        <f>O84</f>
        <v>1.1922205546367906</v>
      </c>
      <c r="Q84" s="47">
        <f t="shared" si="23"/>
        <v>1.1922205546367906</v>
      </c>
      <c r="R84" s="47">
        <f t="shared" si="23"/>
        <v>1.1922205546367906</v>
      </c>
      <c r="S84" s="47">
        <f t="shared" si="23"/>
        <v>1.1922205546367906</v>
      </c>
      <c r="T84" s="48">
        <f t="shared" si="23"/>
        <v>1.1922205546367906</v>
      </c>
    </row>
    <row r="85" spans="2:20" ht="14.4" customHeight="1" x14ac:dyDescent="0.3">
      <c r="B85" s="262" t="s">
        <v>174</v>
      </c>
      <c r="C85" s="263"/>
      <c r="D85" s="263"/>
      <c r="E85" s="263"/>
      <c r="F85" s="263"/>
      <c r="G85" s="263"/>
      <c r="H85" s="264"/>
      <c r="I85" s="233">
        <f t="shared" ref="I85:O85" si="26">I57/I46</f>
        <v>0.29472488727667218</v>
      </c>
      <c r="J85" s="233">
        <f t="shared" si="26"/>
        <v>0.32631466438648998</v>
      </c>
      <c r="K85" s="237">
        <f t="shared" si="26"/>
        <v>0.35571636278556745</v>
      </c>
      <c r="L85" s="233">
        <f t="shared" si="26"/>
        <v>0.3175432820259555</v>
      </c>
      <c r="M85" s="233">
        <f t="shared" si="26"/>
        <v>0.24829040710679362</v>
      </c>
      <c r="N85" s="233">
        <f t="shared" si="26"/>
        <v>0.26995459805928962</v>
      </c>
      <c r="O85" s="234">
        <f t="shared" si="26"/>
        <v>0.25152646640243626</v>
      </c>
      <c r="P85" s="464">
        <f>MEDIAN(I85:O85)</f>
        <v>0.29472488727667218</v>
      </c>
      <c r="Q85" s="235">
        <f t="shared" si="23"/>
        <v>0.29472488727667218</v>
      </c>
      <c r="R85" s="235">
        <f t="shared" si="23"/>
        <v>0.29472488727667218</v>
      </c>
      <c r="S85" s="235">
        <f t="shared" si="23"/>
        <v>0.29472488727667218</v>
      </c>
      <c r="T85" s="236">
        <f t="shared" si="23"/>
        <v>0.29472488727667218</v>
      </c>
    </row>
    <row r="87" spans="2:20" x14ac:dyDescent="0.3">
      <c r="I87" s="40"/>
      <c r="J87" s="40"/>
      <c r="K87" s="40"/>
      <c r="L87" s="40"/>
      <c r="M87" s="40"/>
      <c r="N87" s="40"/>
      <c r="O87" s="40"/>
    </row>
    <row r="88" spans="2:20" x14ac:dyDescent="0.3">
      <c r="H88" s="40"/>
      <c r="I88" s="40"/>
      <c r="J88" s="40"/>
      <c r="K88" s="40"/>
      <c r="L88" s="40"/>
      <c r="M88" s="40"/>
      <c r="N88" s="40"/>
      <c r="O88" s="40"/>
      <c r="P88" s="269"/>
      <c r="Q88" s="269"/>
      <c r="R88" s="269"/>
      <c r="S88" s="269"/>
    </row>
    <row r="89" spans="2:20" x14ac:dyDescent="0.3">
      <c r="B89" s="112"/>
      <c r="J89" s="40"/>
      <c r="K89" s="40"/>
      <c r="L89" s="40"/>
      <c r="M89" s="40"/>
      <c r="N89" s="40"/>
      <c r="O89" s="40"/>
    </row>
    <row r="90" spans="2:20" x14ac:dyDescent="0.3">
      <c r="I90" s="294"/>
      <c r="J90" s="294"/>
      <c r="K90" s="294"/>
      <c r="L90" s="294"/>
      <c r="M90" s="294"/>
      <c r="N90" s="294"/>
      <c r="O90" s="294"/>
      <c r="P90" s="40"/>
      <c r="Q90" s="40"/>
      <c r="R90" s="40"/>
      <c r="S90" s="40"/>
    </row>
    <row r="91" spans="2:20" x14ac:dyDescent="0.3">
      <c r="J91" s="40"/>
      <c r="K91" s="40"/>
      <c r="L91" s="40"/>
      <c r="M91" s="40"/>
      <c r="N91" s="40"/>
      <c r="O91" s="40"/>
      <c r="P91" s="40"/>
      <c r="Q91" s="40"/>
      <c r="R91" s="40"/>
      <c r="S91" s="40"/>
    </row>
    <row r="92" spans="2:20" x14ac:dyDescent="0.3">
      <c r="I92" s="100"/>
      <c r="J92" s="100"/>
      <c r="K92" s="100"/>
      <c r="L92" s="100"/>
      <c r="M92" s="100"/>
      <c r="N92" s="100"/>
      <c r="O92" s="100"/>
    </row>
    <row r="93" spans="2:20" x14ac:dyDescent="0.3">
      <c r="P93" s="43"/>
    </row>
    <row r="94" spans="2:20" x14ac:dyDescent="0.3">
      <c r="I94" s="40"/>
      <c r="J94" s="40"/>
      <c r="K94" s="40"/>
      <c r="L94" s="40"/>
      <c r="M94" s="40"/>
      <c r="N94" s="40"/>
      <c r="O94" s="40"/>
      <c r="P94" s="40"/>
      <c r="Q94" s="40"/>
      <c r="R94" s="40"/>
      <c r="S94" s="40"/>
    </row>
    <row r="95" spans="2:20" x14ac:dyDescent="0.3">
      <c r="I95" s="141"/>
      <c r="J95" s="141"/>
      <c r="K95" s="141"/>
      <c r="L95" s="141"/>
      <c r="M95" s="141"/>
      <c r="N95" s="141"/>
      <c r="O95" s="141"/>
      <c r="P95" s="40"/>
      <c r="Q95" s="40"/>
      <c r="R95" s="40"/>
      <c r="S95" s="40"/>
    </row>
    <row r="96" spans="2:20" x14ac:dyDescent="0.3">
      <c r="I96" s="100"/>
      <c r="J96" s="100"/>
      <c r="K96" s="100"/>
      <c r="L96" s="100"/>
      <c r="M96" s="100"/>
      <c r="N96" s="100"/>
      <c r="O96" s="100"/>
      <c r="P96" s="43"/>
    </row>
  </sheetData>
  <mergeCells count="11">
    <mergeCell ref="G2:J2"/>
    <mergeCell ref="B11:G11"/>
    <mergeCell ref="B34:H34"/>
    <mergeCell ref="B62:H62"/>
    <mergeCell ref="B6:T6"/>
    <mergeCell ref="G4:H4"/>
    <mergeCell ref="B64:T64"/>
    <mergeCell ref="AJ13:AL13"/>
    <mergeCell ref="AJ15:AK16"/>
    <mergeCell ref="I8:O8"/>
    <mergeCell ref="P8:S8"/>
  </mergeCells>
  <pageMargins left="0.7" right="0.7" top="0.75" bottom="0.75" header="0.3" footer="0.3"/>
  <drawing r:id="rId1"/>
  <extLst>
    <ext xmlns:x14="http://schemas.microsoft.com/office/spreadsheetml/2009/9/main" uri="{05C60535-1F16-4fd2-B633-F4F36F0B64E0}">
      <x14:sparklineGroups xmlns:xm="http://schemas.microsoft.com/office/excel/2006/main">
        <x14:sparklineGroup manualMax="0" manualMin="0" displayEmptyCellsAs="gap" markers="1" xr2:uid="{C16DF06A-5486-4AA5-BCF2-5DEC67E30B41}">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f>'SOFP '!I13:R13</xm:f>
              <xm:sqref>T13</xm:sqref>
            </x14:sparkline>
            <x14:sparkline>
              <xm:f>'SOFP '!I14:S14</xm:f>
              <xm:sqref>T14</xm:sqref>
            </x14:sparkline>
            <x14:sparkline>
              <xm:f>'SOFP '!I15:S15</xm:f>
              <xm:sqref>T15</xm:sqref>
            </x14:sparkline>
            <x14:sparkline>
              <xm:f>'SOFP '!I16:S16</xm:f>
              <xm:sqref>T16</xm:sqref>
            </x14:sparkline>
            <x14:sparkline>
              <xm:f>'SOFP '!I17:S17</xm:f>
              <xm:sqref>T17</xm:sqref>
            </x14:sparkline>
            <x14:sparkline>
              <xm:f>'SOFP '!I18:S18</xm:f>
              <xm:sqref>T18</xm:sqref>
            </x14:sparkline>
            <x14:sparkline>
              <xm:f>'SOFP '!I19:S19</xm:f>
              <xm:sqref>T19</xm:sqref>
            </x14:sparkline>
            <x14:sparkline>
              <xm:f>'SOFP '!I20:S20</xm:f>
              <xm:sqref>T20</xm:sqref>
            </x14:sparkline>
            <x14:sparkline>
              <xm:f>'SOFP '!I21:S21</xm:f>
              <xm:sqref>T21</xm:sqref>
            </x14:sparkline>
            <x14:sparkline>
              <xm:f>'SOFP '!I22:S22</xm:f>
              <xm:sqref>T22</xm:sqref>
            </x14:sparkline>
            <x14:sparkline>
              <xm:f>'SOFP '!I23:S23</xm:f>
              <xm:sqref>T23</xm:sqref>
            </x14:sparkline>
            <x14:sparkline>
              <xm:f>'SOFP '!I24:S24</xm:f>
              <xm:sqref>T24</xm:sqref>
            </x14:sparkline>
            <x14:sparkline>
              <xm:f>'SOFP '!I25:S25</xm:f>
              <xm:sqref>T25</xm:sqref>
            </x14:sparkline>
            <x14:sparkline>
              <xm:f>'SOFP '!I26:S26</xm:f>
              <xm:sqref>T26</xm:sqref>
            </x14:sparkline>
            <x14:sparkline>
              <xm:f>'SOFP '!I27:S27</xm:f>
              <xm:sqref>T27</xm:sqref>
            </x14:sparkline>
            <x14:sparkline>
              <xm:f>'SOFP '!I28:S28</xm:f>
              <xm:sqref>T28</xm:sqref>
            </x14:sparkline>
            <x14:sparkline>
              <xm:f>'SOFP '!I29:S29</xm:f>
              <xm:sqref>T29</xm:sqref>
            </x14:sparkline>
            <x14:sparkline>
              <xm:f>'SOFP '!I30:S30</xm:f>
              <xm:sqref>T30</xm:sqref>
            </x14:sparkline>
            <x14:sparkline>
              <xm:f>'SOFP '!I31:S31</xm:f>
              <xm:sqref>T31</xm:sqref>
            </x14:sparkline>
            <x14:sparkline>
              <xm:f>'SOFP '!I32:S32</xm:f>
              <xm:sqref>T32</xm:sqref>
            </x14:sparkline>
            <x14:sparkline>
              <xm:f>'SOFP '!I33:S33</xm:f>
              <xm:sqref>T33</xm:sqref>
            </x14:sparkline>
            <x14:sparkline>
              <xm:f>'SOFP '!I34:S34</xm:f>
              <xm:sqref>T34</xm:sqref>
            </x14:sparkline>
            <x14:sparkline>
              <xm:f>'SOFP '!I35:S35</xm:f>
              <xm:sqref>T35</xm:sqref>
            </x14:sparkline>
            <x14:sparkline>
              <xm:f>'SOFP '!I36:S36</xm:f>
              <xm:sqref>T36</xm:sqref>
            </x14:sparkline>
            <x14:sparkline>
              <xm:f>'SOFP '!I37:S37</xm:f>
              <xm:sqref>T37</xm:sqref>
            </x14:sparkline>
            <x14:sparkline>
              <xm:f>'SOFP '!I38:S38</xm:f>
              <xm:sqref>T38</xm:sqref>
            </x14:sparkline>
            <x14:sparkline>
              <xm:f>'SOFP '!I39:S39</xm:f>
              <xm:sqref>T39</xm:sqref>
            </x14:sparkline>
            <x14:sparkline>
              <xm:f>'SOFP '!I40:S40</xm:f>
              <xm:sqref>T40</xm:sqref>
            </x14:sparkline>
            <x14:sparkline>
              <xm:f>'SOFP '!I41:S41</xm:f>
              <xm:sqref>T41</xm:sqref>
            </x14:sparkline>
            <x14:sparkline>
              <xm:f>'SOFP '!I42:S42</xm:f>
              <xm:sqref>T42</xm:sqref>
            </x14:sparkline>
            <x14:sparkline>
              <xm:f>'SOFP '!I43:S43</xm:f>
              <xm:sqref>T43</xm:sqref>
            </x14:sparkline>
            <x14:sparkline>
              <xm:f>'SOFP '!I44:S44</xm:f>
              <xm:sqref>T44</xm:sqref>
            </x14:sparkline>
            <x14:sparkline>
              <xm:f>'SOFP '!I45:S45</xm:f>
              <xm:sqref>T45</xm:sqref>
            </x14:sparkline>
            <x14:sparkline>
              <xm:f>'SOFP '!I46:S46</xm:f>
              <xm:sqref>T46</xm:sqref>
            </x14:sparkline>
            <x14:sparkline>
              <xm:f>'SOFP '!I47:S47</xm:f>
              <xm:sqref>T47</xm:sqref>
            </x14:sparkline>
            <x14:sparkline>
              <xm:f>'SOFP '!I48:S48</xm:f>
              <xm:sqref>T48</xm:sqref>
            </x14:sparkline>
            <x14:sparkline>
              <xm:f>'SOFP '!I49:S49</xm:f>
              <xm:sqref>T49</xm:sqref>
            </x14:sparkline>
            <x14:sparkline>
              <xm:f>'SOFP '!I50:S50</xm:f>
              <xm:sqref>T50</xm:sqref>
            </x14:sparkline>
            <x14:sparkline>
              <xm:f>'SOFP '!I51:S51</xm:f>
              <xm:sqref>T51</xm:sqref>
            </x14:sparkline>
            <x14:sparkline>
              <xm:f>'SOFP '!I52:S52</xm:f>
              <xm:sqref>T52</xm:sqref>
            </x14:sparkline>
            <x14:sparkline>
              <xm:f>'SOFP '!I53:S53</xm:f>
              <xm:sqref>T53</xm:sqref>
            </x14:sparkline>
            <x14:sparkline>
              <xm:f>'SOFP '!I54:S54</xm:f>
              <xm:sqref>T54</xm:sqref>
            </x14:sparkline>
            <x14:sparkline>
              <xm:f>'SOFP '!I55:S55</xm:f>
              <xm:sqref>T55</xm:sqref>
            </x14:sparkline>
            <x14:sparkline>
              <xm:f>'SOFP '!I56:S56</xm:f>
              <xm:sqref>T56</xm:sqref>
            </x14:sparkline>
            <x14:sparkline>
              <xm:f>'SOFP '!I57:S57</xm:f>
              <xm:sqref>T57</xm:sqref>
            </x14:sparkline>
            <x14:sparkline>
              <xm:f>'SOFP '!I58:S58</xm:f>
              <xm:sqref>T58</xm:sqref>
            </x14:sparkline>
            <x14:sparkline>
              <xm:f>'SOFP '!I59:S59</xm:f>
              <xm:sqref>T59</xm:sqref>
            </x14:sparkline>
            <x14:sparkline>
              <xm:f>'SOFP '!I60:S60</xm:f>
              <xm:sqref>T60</xm:sqref>
            </x14:sparkline>
            <x14:sparkline>
              <xm:f>'SOFP '!I61:S61</xm:f>
              <xm:sqref>T61</xm:sqref>
            </x14:sparkline>
            <x14:sparkline>
              <xm:f>'SOFP '!I62:S62</xm:f>
              <xm:sqref>T62</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1D884-2257-4342-A018-A491BECE5DDF}">
  <sheetPr codeName="Sheet3"/>
  <dimension ref="A2:AL64"/>
  <sheetViews>
    <sheetView showGridLines="0" zoomScale="69" zoomScaleNormal="80" zoomScalePageLayoutView="114" workbookViewId="0"/>
  </sheetViews>
  <sheetFormatPr defaultRowHeight="14.4" x14ac:dyDescent="0.3"/>
  <cols>
    <col min="1" max="1" width="2.77734375" customWidth="1"/>
    <col min="3" max="5" width="0.77734375" customWidth="1"/>
    <col min="8" max="8" width="20" customWidth="1"/>
    <col min="9" max="20" width="16.44140625" customWidth="1"/>
    <col min="27" max="27" width="9.33203125" customWidth="1"/>
    <col min="28" max="28" width="7" customWidth="1"/>
  </cols>
  <sheetData>
    <row r="2" spans="2:27" x14ac:dyDescent="0.3">
      <c r="G2" s="516" t="s">
        <v>34</v>
      </c>
      <c r="H2" s="516"/>
      <c r="I2" s="516"/>
      <c r="J2" s="516"/>
      <c r="L2" s="86"/>
    </row>
    <row r="3" spans="2:27" x14ac:dyDescent="0.3">
      <c r="G3" s="17" t="s">
        <v>326</v>
      </c>
    </row>
    <row r="4" spans="2:27" ht="18" x14ac:dyDescent="0.3">
      <c r="G4" s="572">
        <v>2649.4</v>
      </c>
      <c r="H4" s="572"/>
      <c r="I4" s="42"/>
      <c r="O4" s="44"/>
    </row>
    <row r="5" spans="2:27" ht="18.600000000000001" thickBot="1" x14ac:dyDescent="0.35">
      <c r="G5" s="240" t="s">
        <v>272</v>
      </c>
      <c r="H5" s="239"/>
      <c r="I5" s="42"/>
    </row>
    <row r="6" spans="2:27" s="1" customFormat="1" ht="22.2" thickTop="1" thickBot="1" x14ac:dyDescent="0.45">
      <c r="B6" s="523" t="s">
        <v>2</v>
      </c>
      <c r="C6" s="523"/>
      <c r="D6" s="523"/>
      <c r="E6" s="523"/>
      <c r="F6" s="523"/>
      <c r="G6" s="523"/>
      <c r="H6" s="523"/>
      <c r="I6" s="523"/>
      <c r="J6" s="523"/>
      <c r="K6" s="523"/>
      <c r="L6" s="523"/>
      <c r="M6" s="523"/>
      <c r="N6" s="523"/>
      <c r="O6" s="523"/>
      <c r="P6" s="523"/>
      <c r="Q6" s="523"/>
      <c r="R6" s="523"/>
      <c r="S6" s="523"/>
      <c r="T6" s="523"/>
      <c r="U6" s="523"/>
      <c r="V6" s="523"/>
      <c r="W6" s="523"/>
      <c r="X6" s="523"/>
      <c r="Y6" s="523"/>
      <c r="Z6" s="523"/>
      <c r="AA6" s="523"/>
    </row>
    <row r="7" spans="2:27" s="1" customFormat="1" ht="15" thickTop="1" x14ac:dyDescent="0.3">
      <c r="B7" s="1" t="s">
        <v>325</v>
      </c>
      <c r="C7"/>
      <c r="D7"/>
      <c r="E7"/>
      <c r="F7"/>
      <c r="G7"/>
      <c r="H7"/>
      <c r="I7"/>
      <c r="J7"/>
      <c r="K7"/>
      <c r="L7"/>
      <c r="M7"/>
      <c r="N7"/>
      <c r="O7"/>
      <c r="P7"/>
      <c r="Q7"/>
      <c r="R7"/>
      <c r="S7" s="6"/>
    </row>
    <row r="8" spans="2:27" ht="15" thickBot="1" x14ac:dyDescent="0.35">
      <c r="B8" s="13"/>
      <c r="C8" s="12"/>
      <c r="D8" s="12"/>
      <c r="E8" s="12"/>
      <c r="F8" s="12"/>
      <c r="G8" s="12"/>
      <c r="H8" s="20"/>
      <c r="I8" s="565" t="s">
        <v>299</v>
      </c>
      <c r="J8" s="566"/>
      <c r="K8" s="566"/>
      <c r="L8" s="566"/>
      <c r="M8" s="566"/>
      <c r="N8" s="566"/>
      <c r="O8" s="566"/>
      <c r="P8" s="517" t="s">
        <v>21</v>
      </c>
      <c r="Q8" s="517"/>
      <c r="R8" s="517"/>
      <c r="S8" s="518"/>
    </row>
    <row r="9" spans="2:27" ht="15" thickTop="1" x14ac:dyDescent="0.3">
      <c r="B9" s="14" t="s">
        <v>18</v>
      </c>
      <c r="C9" s="15"/>
      <c r="D9" s="15"/>
      <c r="E9" s="15"/>
      <c r="F9" s="15"/>
      <c r="G9" s="15"/>
      <c r="H9" s="15"/>
      <c r="I9" s="55">
        <f>J9-1</f>
        <v>20</v>
      </c>
      <c r="J9" s="29">
        <v>21</v>
      </c>
      <c r="K9" s="29">
        <f t="shared" ref="K9:S9" si="0">J9+1</f>
        <v>22</v>
      </c>
      <c r="L9" s="29">
        <f t="shared" si="0"/>
        <v>23</v>
      </c>
      <c r="M9" s="29">
        <f t="shared" si="0"/>
        <v>24</v>
      </c>
      <c r="N9" s="29">
        <f t="shared" si="0"/>
        <v>25</v>
      </c>
      <c r="O9" s="29">
        <f t="shared" si="0"/>
        <v>26</v>
      </c>
      <c r="P9" s="30">
        <f t="shared" si="0"/>
        <v>27</v>
      </c>
      <c r="Q9" s="30">
        <f t="shared" si="0"/>
        <v>28</v>
      </c>
      <c r="R9" s="30">
        <f t="shared" si="0"/>
        <v>29</v>
      </c>
      <c r="S9" s="31">
        <f t="shared" si="0"/>
        <v>30</v>
      </c>
    </row>
    <row r="10" spans="2:27" ht="7.8" customHeight="1" x14ac:dyDescent="0.3">
      <c r="B10" s="7"/>
      <c r="I10" s="56"/>
      <c r="J10" s="23"/>
      <c r="K10" s="23"/>
      <c r="L10" s="23"/>
      <c r="M10" s="23"/>
      <c r="N10" s="23"/>
      <c r="O10" s="23"/>
      <c r="P10" s="23"/>
      <c r="Q10" s="23"/>
      <c r="R10" s="23"/>
      <c r="S10" s="24"/>
    </row>
    <row r="11" spans="2:27" x14ac:dyDescent="0.3">
      <c r="B11" s="8" t="s">
        <v>7</v>
      </c>
      <c r="I11" s="57">
        <f>20025.96+22.36</f>
        <v>20048.32</v>
      </c>
      <c r="J11" s="58">
        <f>21440.24+44.96</f>
        <v>21485.200000000001</v>
      </c>
      <c r="K11" s="58">
        <f>28830.02+93.46</f>
        <v>28923.48</v>
      </c>
      <c r="L11" s="58">
        <f>34253.35+114.48</f>
        <v>34367.83</v>
      </c>
      <c r="M11" s="58">
        <f>35248.88+133.24</f>
        <v>35382.119999999995</v>
      </c>
      <c r="N11" s="58">
        <f>33626.82+170.54</f>
        <v>33797.360000000001</v>
      </c>
      <c r="O11" s="58">
        <f>35416.25+100.12</f>
        <v>35516.370000000003</v>
      </c>
      <c r="P11" s="59">
        <f t="shared" ref="P11:S12" si="1">O11*(1+Q42)</f>
        <v>38772.174568549199</v>
      </c>
      <c r="Q11" s="59">
        <f t="shared" si="1"/>
        <v>42326.440477280004</v>
      </c>
      <c r="R11" s="59">
        <f t="shared" si="1"/>
        <v>46206.527836330322</v>
      </c>
      <c r="S11" s="60">
        <f t="shared" si="1"/>
        <v>50442.304871717664</v>
      </c>
    </row>
    <row r="12" spans="2:27" x14ac:dyDescent="0.3">
      <c r="B12" s="8" t="s">
        <v>4</v>
      </c>
      <c r="I12" s="57">
        <v>162.93</v>
      </c>
      <c r="J12" s="58">
        <v>227.59</v>
      </c>
      <c r="K12" s="58">
        <v>177.8</v>
      </c>
      <c r="L12" s="58">
        <v>120.76</v>
      </c>
      <c r="M12" s="58">
        <v>112.61</v>
      </c>
      <c r="N12" s="58">
        <v>108.26</v>
      </c>
      <c r="O12" s="58">
        <v>67.17</v>
      </c>
      <c r="P12" s="59">
        <f t="shared" si="1"/>
        <v>62.636748095395824</v>
      </c>
      <c r="Q12" s="59">
        <f t="shared" si="1"/>
        <v>58.409441893197439</v>
      </c>
      <c r="R12" s="59">
        <f t="shared" si="1"/>
        <v>54.46743335204507</v>
      </c>
      <c r="S12" s="60">
        <f t="shared" si="1"/>
        <v>50.791467951091377</v>
      </c>
    </row>
    <row r="13" spans="2:27" s="1" customFormat="1" x14ac:dyDescent="0.3">
      <c r="B13" s="9" t="s">
        <v>5</v>
      </c>
      <c r="C13" s="18"/>
      <c r="D13" s="18"/>
      <c r="E13" s="18"/>
      <c r="F13" s="18"/>
      <c r="G13" s="18"/>
      <c r="H13" s="18"/>
      <c r="I13" s="61">
        <f>SUM(I11:I12)</f>
        <v>20211.25</v>
      </c>
      <c r="J13" s="62">
        <f>SUM(J11:J12)</f>
        <v>21712.79</v>
      </c>
      <c r="K13" s="62">
        <f t="shared" ref="K13:S13" si="2">SUM(K11:K12)</f>
        <v>29101.279999999999</v>
      </c>
      <c r="L13" s="62">
        <f t="shared" si="2"/>
        <v>34488.590000000004</v>
      </c>
      <c r="M13" s="62">
        <f t="shared" si="2"/>
        <v>35494.729999999996</v>
      </c>
      <c r="N13" s="62">
        <f t="shared" si="2"/>
        <v>33905.620000000003</v>
      </c>
      <c r="O13" s="62">
        <f t="shared" si="2"/>
        <v>35583.54</v>
      </c>
      <c r="P13" s="63">
        <f t="shared" si="2"/>
        <v>38834.811316644591</v>
      </c>
      <c r="Q13" s="63">
        <f t="shared" si="2"/>
        <v>42384.849919173204</v>
      </c>
      <c r="R13" s="63">
        <f t="shared" si="2"/>
        <v>46260.995269682368</v>
      </c>
      <c r="S13" s="64">
        <f t="shared" si="2"/>
        <v>50493.096339668758</v>
      </c>
    </row>
    <row r="14" spans="2:27" x14ac:dyDescent="0.3">
      <c r="B14" s="8" t="s">
        <v>3</v>
      </c>
      <c r="I14" s="57">
        <v>10091.780000000001</v>
      </c>
      <c r="J14" s="58">
        <v>10317.09</v>
      </c>
      <c r="K14" s="58">
        <v>16254.59</v>
      </c>
      <c r="L14" s="58">
        <v>17330.580000000002</v>
      </c>
      <c r="M14" s="58">
        <v>15868.21</v>
      </c>
      <c r="N14" s="58">
        <v>15793.92</v>
      </c>
      <c r="O14" s="58">
        <v>15384.05</v>
      </c>
      <c r="P14" s="59">
        <f t="shared" ref="P14:S16" si="3">P$13*Q44</f>
        <v>18452.821746391906</v>
      </c>
      <c r="Q14" s="59">
        <f t="shared" si="3"/>
        <v>20139.664743803201</v>
      </c>
      <c r="R14" s="59">
        <f t="shared" si="3"/>
        <v>21981.461234916715</v>
      </c>
      <c r="S14" s="60">
        <f t="shared" si="3"/>
        <v>23992.394312984798</v>
      </c>
    </row>
    <row r="15" spans="2:27" x14ac:dyDescent="0.3">
      <c r="B15" s="8" t="s">
        <v>6</v>
      </c>
      <c r="I15" s="57">
        <v>1530.83</v>
      </c>
      <c r="J15" s="58">
        <v>1872.59</v>
      </c>
      <c r="K15" s="58">
        <v>3371.13</v>
      </c>
      <c r="L15" s="58">
        <v>4135.6499999999996</v>
      </c>
      <c r="M15" s="58">
        <v>3858.2</v>
      </c>
      <c r="N15" s="58">
        <v>3926.86</v>
      </c>
      <c r="O15" s="58">
        <v>4014.05</v>
      </c>
      <c r="P15" s="59">
        <f t="shared" si="3"/>
        <v>4380.8141170208819</v>
      </c>
      <c r="Q15" s="59">
        <f t="shared" si="3"/>
        <v>4781.2810872121545</v>
      </c>
      <c r="R15" s="59">
        <f t="shared" si="3"/>
        <v>5218.5349760667013</v>
      </c>
      <c r="S15" s="60">
        <f t="shared" si="3"/>
        <v>5695.9429377247843</v>
      </c>
    </row>
    <row r="16" spans="2:27" x14ac:dyDescent="0.3">
      <c r="B16" s="8" t="s">
        <v>9</v>
      </c>
      <c r="I16" s="57">
        <v>-239.15</v>
      </c>
      <c r="J16" s="58">
        <v>-92.45</v>
      </c>
      <c r="K16" s="58">
        <v>-1324.97</v>
      </c>
      <c r="L16" s="58">
        <v>-309.73</v>
      </c>
      <c r="M16" s="58">
        <v>363.8</v>
      </c>
      <c r="N16" s="58">
        <v>-205</v>
      </c>
      <c r="O16" s="58">
        <v>603.67999999999995</v>
      </c>
      <c r="P16" s="59">
        <f t="shared" si="3"/>
        <v>-234.80285332968813</v>
      </c>
      <c r="Q16" s="59">
        <f t="shared" si="3"/>
        <v>-256.26708001300392</v>
      </c>
      <c r="R16" s="59">
        <f t="shared" si="3"/>
        <v>-279.70301178049198</v>
      </c>
      <c r="S16" s="60">
        <f t="shared" si="3"/>
        <v>-305.29112134307218</v>
      </c>
    </row>
    <row r="17" spans="1:38" x14ac:dyDescent="0.3">
      <c r="B17" s="10" t="s">
        <v>15</v>
      </c>
      <c r="C17" s="18"/>
      <c r="D17" s="18"/>
      <c r="E17" s="18"/>
      <c r="F17" s="18"/>
      <c r="G17" s="18"/>
      <c r="H17" s="18"/>
      <c r="I17" s="61">
        <f>SUM(I14:I16)</f>
        <v>11383.460000000001</v>
      </c>
      <c r="J17" s="62">
        <f>SUM(J14:J16)</f>
        <v>12097.23</v>
      </c>
      <c r="K17" s="62">
        <f t="shared" ref="K17:S17" si="4">SUM(K14:K16)</f>
        <v>18300.75</v>
      </c>
      <c r="L17" s="62">
        <f t="shared" si="4"/>
        <v>21156.500000000004</v>
      </c>
      <c r="M17" s="62">
        <f t="shared" si="4"/>
        <v>20090.21</v>
      </c>
      <c r="N17" s="62">
        <f t="shared" si="4"/>
        <v>19515.78</v>
      </c>
      <c r="O17" s="62">
        <f t="shared" si="4"/>
        <v>20001.78</v>
      </c>
      <c r="P17" s="63">
        <f t="shared" si="4"/>
        <v>22598.833010083101</v>
      </c>
      <c r="Q17" s="63">
        <f t="shared" si="4"/>
        <v>24664.678751002353</v>
      </c>
      <c r="R17" s="63">
        <f t="shared" si="4"/>
        <v>26920.293199202923</v>
      </c>
      <c r="S17" s="64">
        <f t="shared" si="4"/>
        <v>29383.04612936651</v>
      </c>
    </row>
    <row r="18" spans="1:38" s="1" customFormat="1" x14ac:dyDescent="0.3">
      <c r="B18" s="9" t="s">
        <v>11</v>
      </c>
      <c r="C18" s="18"/>
      <c r="D18" s="18"/>
      <c r="E18" s="18"/>
      <c r="F18" s="18"/>
      <c r="G18" s="18"/>
      <c r="H18" s="18"/>
      <c r="I18" s="65">
        <f>I13-I17</f>
        <v>8827.7899999999991</v>
      </c>
      <c r="J18" s="66">
        <f>J13-J17</f>
        <v>9615.5600000000013</v>
      </c>
      <c r="K18" s="66">
        <f t="shared" ref="K18:S18" si="5">K13-K17</f>
        <v>10800.529999999999</v>
      </c>
      <c r="L18" s="66">
        <f t="shared" si="5"/>
        <v>13332.09</v>
      </c>
      <c r="M18" s="66">
        <f t="shared" si="5"/>
        <v>15404.519999999997</v>
      </c>
      <c r="N18" s="66">
        <f t="shared" si="5"/>
        <v>14389.840000000004</v>
      </c>
      <c r="O18" s="66">
        <f t="shared" si="5"/>
        <v>15581.760000000002</v>
      </c>
      <c r="P18" s="67">
        <f t="shared" si="5"/>
        <v>16235.97830656149</v>
      </c>
      <c r="Q18" s="67">
        <f t="shared" si="5"/>
        <v>17720.171168170851</v>
      </c>
      <c r="R18" s="67">
        <f t="shared" si="5"/>
        <v>19340.702070479445</v>
      </c>
      <c r="S18" s="68">
        <f t="shared" si="5"/>
        <v>21110.050210302248</v>
      </c>
    </row>
    <row r="19" spans="1:38" s="1" customFormat="1" x14ac:dyDescent="0.3">
      <c r="B19" s="8" t="s">
        <v>24</v>
      </c>
      <c r="C19"/>
      <c r="D19"/>
      <c r="E19"/>
      <c r="F19"/>
      <c r="G19"/>
      <c r="H19"/>
      <c r="I19" s="57">
        <v>304.31</v>
      </c>
      <c r="J19" s="58">
        <v>303.05</v>
      </c>
      <c r="K19" s="58">
        <v>380.01</v>
      </c>
      <c r="L19" s="58">
        <v>386.48</v>
      </c>
      <c r="M19" s="58">
        <v>687.96</v>
      </c>
      <c r="N19" s="58">
        <v>572.61</v>
      </c>
      <c r="O19" s="58">
        <v>723.8</v>
      </c>
      <c r="P19" s="59">
        <f>O19*(1+Q49)</f>
        <v>836.24905093803841</v>
      </c>
      <c r="Q19" s="59">
        <f>P19*(1+R49)</f>
        <v>966.16810609943354</v>
      </c>
      <c r="R19" s="59">
        <f>Q19*(1+S49)</f>
        <v>1116.2712928602562</v>
      </c>
      <c r="S19" s="60">
        <f>R19*(1+T49)</f>
        <v>1289.6944034868284</v>
      </c>
      <c r="AC19" s="25"/>
      <c r="AD19" s="26"/>
      <c r="AE19" s="26"/>
      <c r="AF19" s="26"/>
      <c r="AG19" s="26"/>
      <c r="AH19" s="26"/>
      <c r="AI19" s="26"/>
      <c r="AJ19" s="26"/>
      <c r="AK19" s="26"/>
      <c r="AL19" s="26"/>
    </row>
    <row r="20" spans="1:38" x14ac:dyDescent="0.3">
      <c r="B20" s="8" t="s">
        <v>8</v>
      </c>
      <c r="I20" s="57">
        <v>1366.09</v>
      </c>
      <c r="J20" s="58">
        <v>1540.75</v>
      </c>
      <c r="K20" s="58">
        <v>1786.67</v>
      </c>
      <c r="L20" s="58">
        <v>2028.07</v>
      </c>
      <c r="M20" s="58">
        <v>2326.1799999999998</v>
      </c>
      <c r="N20" s="58">
        <v>2597.23</v>
      </c>
      <c r="O20" s="58">
        <v>2799.59</v>
      </c>
      <c r="P20" s="59">
        <f>O20*(1+Q47)</f>
        <v>3167.6879829398604</v>
      </c>
      <c r="Q20" s="59">
        <f>P20*(1+R47)</f>
        <v>3584.184526041885</v>
      </c>
      <c r="R20" s="59">
        <f>Q20*(1+S47)</f>
        <v>4055.4432083918996</v>
      </c>
      <c r="S20" s="60">
        <f>R20*(1+T47)</f>
        <v>4588.6643103876249</v>
      </c>
    </row>
    <row r="21" spans="1:38" x14ac:dyDescent="0.3">
      <c r="B21" s="8" t="s">
        <v>10</v>
      </c>
      <c r="I21" s="57">
        <v>3299.93</v>
      </c>
      <c r="J21" s="58">
        <v>3219.21</v>
      </c>
      <c r="K21" s="58">
        <v>4210.25</v>
      </c>
      <c r="L21" s="58">
        <v>5044.18</v>
      </c>
      <c r="M21" s="58">
        <v>5493.36</v>
      </c>
      <c r="N21" s="58">
        <v>5786.4</v>
      </c>
      <c r="O21" s="58">
        <v>6086.25</v>
      </c>
      <c r="P21" s="59">
        <f>P$13*Q48</f>
        <v>6010.2893892812463</v>
      </c>
      <c r="Q21" s="59">
        <f>Q$13*R48</f>
        <v>6559.7129250451917</v>
      </c>
      <c r="R21" s="59">
        <f>R$13*S48</f>
        <v>7159.6065380596592</v>
      </c>
      <c r="S21" s="60">
        <f>S$13*T48</f>
        <v>7814.5898196290764</v>
      </c>
    </row>
    <row r="22" spans="1:38" s="1" customFormat="1" x14ac:dyDescent="0.3">
      <c r="B22" s="10" t="s">
        <v>12</v>
      </c>
      <c r="C22" s="18"/>
      <c r="D22" s="18"/>
      <c r="E22" s="18"/>
      <c r="F22" s="18"/>
      <c r="G22" s="18"/>
      <c r="H22" s="18"/>
      <c r="I22" s="61">
        <f>SUM(I18:I19)-SUM(I20:I21)</f>
        <v>4466.079999999999</v>
      </c>
      <c r="J22" s="62">
        <f>SUM(J18:J19)-SUM(J20:J21)</f>
        <v>5158.6500000000005</v>
      </c>
      <c r="K22" s="62">
        <f t="shared" ref="K22:S22" si="6">SUM(K18:K19)-SUM(K20:K21)</f>
        <v>5183.619999999999</v>
      </c>
      <c r="L22" s="62">
        <f t="shared" si="6"/>
        <v>6646.32</v>
      </c>
      <c r="M22" s="62">
        <f t="shared" si="6"/>
        <v>8272.9399999999969</v>
      </c>
      <c r="N22" s="62">
        <f t="shared" si="6"/>
        <v>6578.8200000000052</v>
      </c>
      <c r="O22" s="62">
        <f t="shared" si="6"/>
        <v>7419.7200000000012</v>
      </c>
      <c r="P22" s="63">
        <f>SUM(P18:P19)-SUM(P20:P21)</f>
        <v>7894.2499852784204</v>
      </c>
      <c r="Q22" s="63">
        <f t="shared" si="6"/>
        <v>8542.4418231832096</v>
      </c>
      <c r="R22" s="63">
        <f t="shared" si="6"/>
        <v>9241.9236168881416</v>
      </c>
      <c r="S22" s="64">
        <f t="shared" si="6"/>
        <v>9996.4904837723752</v>
      </c>
      <c r="AF22" s="26"/>
    </row>
    <row r="23" spans="1:38" x14ac:dyDescent="0.3">
      <c r="B23" s="7" t="s">
        <v>13</v>
      </c>
      <c r="I23" s="57">
        <v>780.5</v>
      </c>
      <c r="J23" s="58">
        <v>791.27</v>
      </c>
      <c r="K23" s="58">
        <v>816.36</v>
      </c>
      <c r="L23" s="58">
        <v>858.02</v>
      </c>
      <c r="M23" s="58">
        <v>853</v>
      </c>
      <c r="N23" s="58">
        <v>1026.3399999999999</v>
      </c>
      <c r="O23" s="58">
        <v>1228.8499999999999</v>
      </c>
      <c r="P23" s="40">
        <f>Schedule!AG47</f>
        <v>1338.0711261339598</v>
      </c>
      <c r="Q23" s="40">
        <f>Schedule!AH47</f>
        <v>1402.933685435079</v>
      </c>
      <c r="R23" s="40">
        <f>Schedule!AI47</f>
        <v>1477.7124536734541</v>
      </c>
      <c r="S23" s="271">
        <f>Schedule!AJ47</f>
        <v>1562.8010873786816</v>
      </c>
      <c r="AF23" s="26"/>
    </row>
    <row r="24" spans="1:38" x14ac:dyDescent="0.3">
      <c r="B24" s="10" t="s">
        <v>22</v>
      </c>
      <c r="C24" s="18"/>
      <c r="D24" s="18"/>
      <c r="E24" s="18"/>
      <c r="F24" s="18"/>
      <c r="G24" s="18"/>
      <c r="H24" s="18"/>
      <c r="I24" s="61">
        <f t="shared" ref="I24:S24" si="7">I22-I23</f>
        <v>3685.579999999999</v>
      </c>
      <c r="J24" s="62">
        <f t="shared" si="7"/>
        <v>4367.380000000001</v>
      </c>
      <c r="K24" s="62">
        <f t="shared" si="7"/>
        <v>4367.2599999999993</v>
      </c>
      <c r="L24" s="62">
        <f t="shared" si="7"/>
        <v>5788.2999999999993</v>
      </c>
      <c r="M24" s="62">
        <f t="shared" si="7"/>
        <v>7419.9399999999969</v>
      </c>
      <c r="N24" s="62">
        <f t="shared" si="7"/>
        <v>5552.480000000005</v>
      </c>
      <c r="O24" s="62">
        <f t="shared" si="7"/>
        <v>6190.8700000000008</v>
      </c>
      <c r="P24" s="63">
        <f t="shared" si="7"/>
        <v>6556.1788591444601</v>
      </c>
      <c r="Q24" s="63">
        <f t="shared" si="7"/>
        <v>7139.508137748131</v>
      </c>
      <c r="R24" s="63">
        <f t="shared" si="7"/>
        <v>7764.211163214688</v>
      </c>
      <c r="S24" s="64">
        <f t="shared" si="7"/>
        <v>8433.6893963936927</v>
      </c>
      <c r="U24" s="3"/>
      <c r="V24" s="3"/>
      <c r="AF24" s="26"/>
    </row>
    <row r="25" spans="1:38" s="1" customFormat="1" x14ac:dyDescent="0.3">
      <c r="B25" s="7" t="s">
        <v>20</v>
      </c>
      <c r="C25"/>
      <c r="D25"/>
      <c r="E25"/>
      <c r="F25"/>
      <c r="G25"/>
      <c r="H25"/>
      <c r="I25" s="57">
        <v>50.74</v>
      </c>
      <c r="J25" s="58">
        <v>28.6</v>
      </c>
      <c r="K25" s="58">
        <v>31.57</v>
      </c>
      <c r="L25" s="58">
        <v>93.85</v>
      </c>
      <c r="M25" s="58">
        <v>133</v>
      </c>
      <c r="N25" s="58">
        <v>140.71</v>
      </c>
      <c r="O25" s="58">
        <v>165.59</v>
      </c>
      <c r="P25" s="59">
        <f>O25*(1+Q50)</f>
        <v>182.78588461538459</v>
      </c>
      <c r="Q25" s="59">
        <f>P25*(1+R50)</f>
        <v>201.76749571005911</v>
      </c>
      <c r="R25" s="59">
        <f>Q25*(1+S50)</f>
        <v>222.72027411071906</v>
      </c>
      <c r="S25" s="60">
        <f>R25*(1+T50)</f>
        <v>245.84891796067831</v>
      </c>
      <c r="U25" s="2"/>
      <c r="V25" s="5"/>
      <c r="AF25" s="26"/>
    </row>
    <row r="26" spans="1:38" x14ac:dyDescent="0.3">
      <c r="B26" s="8" t="s">
        <v>16</v>
      </c>
      <c r="I26" s="57">
        <v>0</v>
      </c>
      <c r="J26" s="58">
        <v>0</v>
      </c>
      <c r="K26" s="58">
        <v>-115.7</v>
      </c>
      <c r="L26" s="58">
        <v>-48.87</v>
      </c>
      <c r="M26" s="58">
        <v>0</v>
      </c>
      <c r="N26" s="58">
        <v>-363.1</v>
      </c>
      <c r="O26" s="58">
        <v>-157.61000000000001</v>
      </c>
      <c r="P26" s="59">
        <v>0</v>
      </c>
      <c r="Q26" s="59">
        <v>0</v>
      </c>
      <c r="R26" s="59">
        <v>0</v>
      </c>
      <c r="S26" s="60">
        <v>0</v>
      </c>
      <c r="U26" s="2"/>
      <c r="V26" s="5"/>
      <c r="AF26" s="26"/>
    </row>
    <row r="27" spans="1:38" x14ac:dyDescent="0.3">
      <c r="B27" s="8" t="s">
        <v>17</v>
      </c>
      <c r="H27" s="44"/>
      <c r="I27" s="57">
        <v>102.33</v>
      </c>
      <c r="J27" s="58">
        <v>91.63</v>
      </c>
      <c r="K27" s="58">
        <v>95.41</v>
      </c>
      <c r="L27" s="58">
        <v>144.44999999999999</v>
      </c>
      <c r="M27" s="58">
        <v>205.17</v>
      </c>
      <c r="N27" s="58">
        <v>227.02</v>
      </c>
      <c r="O27" s="58">
        <v>195.41</v>
      </c>
      <c r="P27" s="59">
        <f>Schedule!M64</f>
        <v>209.84590554357032</v>
      </c>
      <c r="Q27" s="59">
        <f>Schedule!N64</f>
        <v>225.34826300292227</v>
      </c>
      <c r="R27" s="59">
        <f>Schedule!O64</f>
        <v>241.99585646854754</v>
      </c>
      <c r="S27" s="221">
        <f>Schedule!P64</f>
        <v>259.87329020231431</v>
      </c>
      <c r="U27" s="2"/>
      <c r="V27" s="2"/>
      <c r="AF27" s="26"/>
    </row>
    <row r="28" spans="1:38" x14ac:dyDescent="0.3">
      <c r="B28" s="9" t="s">
        <v>23</v>
      </c>
      <c r="C28" s="18"/>
      <c r="D28" s="18"/>
      <c r="E28" s="18"/>
      <c r="F28" s="18"/>
      <c r="G28" s="18"/>
      <c r="H28" s="18"/>
      <c r="I28" s="61">
        <f t="shared" ref="I28:S28" si="8">SUM(I24:I26)-I27</f>
        <v>3633.9899999999989</v>
      </c>
      <c r="J28" s="62">
        <f t="shared" si="8"/>
        <v>4304.3500000000013</v>
      </c>
      <c r="K28" s="62">
        <f t="shared" si="8"/>
        <v>4187.7199999999993</v>
      </c>
      <c r="L28" s="62">
        <f t="shared" si="8"/>
        <v>5688.83</v>
      </c>
      <c r="M28" s="62">
        <f t="shared" si="8"/>
        <v>7347.7699999999968</v>
      </c>
      <c r="N28" s="62">
        <f t="shared" si="8"/>
        <v>5103.0700000000043</v>
      </c>
      <c r="O28" s="62">
        <f t="shared" si="8"/>
        <v>6003.4400000000014</v>
      </c>
      <c r="P28" s="63">
        <f t="shared" si="8"/>
        <v>6529.1188382162745</v>
      </c>
      <c r="Q28" s="63">
        <f t="shared" si="8"/>
        <v>7115.9273704552679</v>
      </c>
      <c r="R28" s="63">
        <f t="shared" si="8"/>
        <v>7744.9355808568598</v>
      </c>
      <c r="S28" s="64">
        <f t="shared" si="8"/>
        <v>8419.6650241520565</v>
      </c>
      <c r="U28" s="2"/>
      <c r="V28" s="2"/>
    </row>
    <row r="29" spans="1:38" s="1" customFormat="1" x14ac:dyDescent="0.3">
      <c r="A29"/>
      <c r="B29" s="8" t="s">
        <v>14</v>
      </c>
      <c r="C29"/>
      <c r="D29"/>
      <c r="E29"/>
      <c r="F29"/>
      <c r="G29"/>
      <c r="H29"/>
      <c r="I29" s="57">
        <v>854.85</v>
      </c>
      <c r="J29" s="58">
        <v>1097.5999999999999</v>
      </c>
      <c r="K29" s="58">
        <v>1102.9100000000001</v>
      </c>
      <c r="L29" s="58">
        <v>1493.5</v>
      </c>
      <c r="M29" s="58">
        <v>1790.08</v>
      </c>
      <c r="N29" s="58">
        <v>1393.36</v>
      </c>
      <c r="O29" s="58">
        <v>1608.75</v>
      </c>
      <c r="P29" s="59">
        <f>P28*Q51</f>
        <v>1749.6168748218404</v>
      </c>
      <c r="Q29" s="59">
        <f>Q28*R51</f>
        <v>1906.8647570759281</v>
      </c>
      <c r="R29" s="59">
        <f>R28*S51</f>
        <v>2075.4209446090026</v>
      </c>
      <c r="S29" s="60">
        <f>S28*T51</f>
        <v>2256.2291132425107</v>
      </c>
      <c r="AC29"/>
      <c r="AD29"/>
    </row>
    <row r="30" spans="1:38" s="1" customFormat="1" x14ac:dyDescent="0.3">
      <c r="A30"/>
      <c r="B30" s="8" t="s">
        <v>95</v>
      </c>
      <c r="C30"/>
      <c r="D30"/>
      <c r="E30"/>
      <c r="F30"/>
      <c r="G30"/>
      <c r="H30"/>
      <c r="I30" s="57">
        <v>-4.95</v>
      </c>
      <c r="J30" s="58">
        <v>0</v>
      </c>
      <c r="K30" s="58">
        <v>0</v>
      </c>
      <c r="L30" s="58">
        <v>0</v>
      </c>
      <c r="M30" s="58">
        <v>0</v>
      </c>
      <c r="N30" s="58">
        <v>0</v>
      </c>
      <c r="O30" s="58">
        <v>0</v>
      </c>
      <c r="P30" s="59">
        <v>0</v>
      </c>
      <c r="Q30" s="59">
        <v>0</v>
      </c>
      <c r="R30" s="59">
        <v>0</v>
      </c>
      <c r="S30" s="59">
        <v>0</v>
      </c>
      <c r="T30" s="22"/>
      <c r="AC30"/>
      <c r="AD30"/>
    </row>
    <row r="31" spans="1:38" s="1" customFormat="1" x14ac:dyDescent="0.3">
      <c r="A31"/>
      <c r="B31" s="10" t="s">
        <v>19</v>
      </c>
      <c r="C31" s="18"/>
      <c r="D31" s="18"/>
      <c r="E31" s="18"/>
      <c r="F31" s="18"/>
      <c r="G31" s="18"/>
      <c r="H31" s="19"/>
      <c r="I31" s="61">
        <f>I28-I29+I30</f>
        <v>2774.1899999999991</v>
      </c>
      <c r="J31" s="62">
        <f t="shared" ref="J31:S31" si="9">J28-J29+J30</f>
        <v>3206.7500000000014</v>
      </c>
      <c r="K31" s="62">
        <f t="shared" si="9"/>
        <v>3084.8099999999995</v>
      </c>
      <c r="L31" s="62">
        <f t="shared" si="9"/>
        <v>4195.33</v>
      </c>
      <c r="M31" s="62">
        <f t="shared" si="9"/>
        <v>5557.6899999999969</v>
      </c>
      <c r="N31" s="62">
        <f t="shared" si="9"/>
        <v>3709.7100000000046</v>
      </c>
      <c r="O31" s="62">
        <f t="shared" si="9"/>
        <v>4394.6900000000014</v>
      </c>
      <c r="P31" s="63">
        <f t="shared" si="9"/>
        <v>4779.5019633944339</v>
      </c>
      <c r="Q31" s="63">
        <f>Q28-Q29+Q30</f>
        <v>5209.0626133793394</v>
      </c>
      <c r="R31" s="63">
        <f t="shared" si="9"/>
        <v>5669.5146362478572</v>
      </c>
      <c r="S31" s="64">
        <f t="shared" si="9"/>
        <v>6163.4359109095458</v>
      </c>
    </row>
    <row r="32" spans="1:38" s="1" customFormat="1" x14ac:dyDescent="0.3">
      <c r="A32"/>
      <c r="B32" s="9" t="s">
        <v>104</v>
      </c>
      <c r="C32" s="18"/>
      <c r="D32" s="18"/>
      <c r="E32" s="18"/>
      <c r="F32" s="18"/>
      <c r="G32" s="18"/>
      <c r="H32" s="19"/>
      <c r="I32" s="99">
        <v>2705.17</v>
      </c>
      <c r="J32" s="99">
        <v>3139.29</v>
      </c>
      <c r="K32" s="99">
        <v>3030.57</v>
      </c>
      <c r="L32" s="99">
        <v>4106.45</v>
      </c>
      <c r="M32" s="99">
        <v>5460.23</v>
      </c>
      <c r="N32" s="99">
        <v>3667.23</v>
      </c>
      <c r="O32" s="99">
        <v>4325.3500000000004</v>
      </c>
      <c r="P32" s="102">
        <f t="shared" ref="P32:S33" si="10">P31*Q52</f>
        <v>4704.0903493461674</v>
      </c>
      <c r="Q32" s="102">
        <f t="shared" si="10"/>
        <v>5126.8733345879509</v>
      </c>
      <c r="R32" s="102">
        <f t="shared" si="10"/>
        <v>5580.0602845467283</v>
      </c>
      <c r="S32" s="103">
        <f t="shared" si="10"/>
        <v>6066.1884040177119</v>
      </c>
    </row>
    <row r="33" spans="1:29" s="1" customFormat="1" x14ac:dyDescent="0.3">
      <c r="A33"/>
      <c r="B33" s="10" t="s">
        <v>107</v>
      </c>
      <c r="C33" s="18"/>
      <c r="D33" s="18"/>
      <c r="E33" s="18"/>
      <c r="F33" s="18"/>
      <c r="G33" s="18"/>
      <c r="H33" s="19"/>
      <c r="I33" s="61">
        <v>1151.04</v>
      </c>
      <c r="J33" s="62">
        <v>1712.17</v>
      </c>
      <c r="K33" s="62">
        <v>1836.68</v>
      </c>
      <c r="L33" s="62">
        <v>2532.2800000000002</v>
      </c>
      <c r="M33" s="62">
        <v>3194.13</v>
      </c>
      <c r="N33" s="62">
        <v>2378.81</v>
      </c>
      <c r="O33" s="62">
        <v>2637.79</v>
      </c>
      <c r="P33" s="63">
        <f t="shared" si="10"/>
        <v>2850.9186927994133</v>
      </c>
      <c r="Q33" s="63">
        <f t="shared" si="10"/>
        <v>3107.1467467080442</v>
      </c>
      <c r="R33" s="63">
        <f t="shared" si="10"/>
        <v>3381.8011540473526</v>
      </c>
      <c r="S33" s="64">
        <f t="shared" si="10"/>
        <v>3676.4195903382042</v>
      </c>
    </row>
    <row r="34" spans="1:29" s="1" customFormat="1" x14ac:dyDescent="0.3">
      <c r="A34"/>
      <c r="B34" s="10" t="s">
        <v>286</v>
      </c>
      <c r="C34" s="18"/>
      <c r="D34" s="18"/>
      <c r="E34" s="18"/>
      <c r="F34" s="18"/>
      <c r="G34" s="18"/>
      <c r="H34" s="51" t="s">
        <v>327</v>
      </c>
      <c r="I34" s="105">
        <v>28.2</v>
      </c>
      <c r="J34" s="106">
        <v>32.729999999999997</v>
      </c>
      <c r="K34" s="106">
        <v>31.59</v>
      </c>
      <c r="L34" s="106">
        <v>42.83</v>
      </c>
      <c r="M34" s="106">
        <v>56.95</v>
      </c>
      <c r="N34" s="106">
        <v>38.25</v>
      </c>
      <c r="O34" s="106">
        <v>45.12</v>
      </c>
      <c r="P34" s="107">
        <f>P32/Q54*10000000</f>
        <v>49.071657230815404</v>
      </c>
      <c r="Q34" s="107">
        <f>Q32/R54*10000000</f>
        <v>53.48200231223786</v>
      </c>
      <c r="R34" s="107">
        <f>R32/S54*10000000</f>
        <v>58.209512419042419</v>
      </c>
      <c r="S34" s="108">
        <f>S32/T54*10000000</f>
        <v>63.280654909376743</v>
      </c>
    </row>
    <row r="35" spans="1:29" x14ac:dyDescent="0.3">
      <c r="A35" s="1"/>
      <c r="B35" s="10" t="s">
        <v>108</v>
      </c>
      <c r="C35" s="18"/>
      <c r="D35" s="18"/>
      <c r="E35" s="18"/>
      <c r="F35" s="18"/>
      <c r="G35" s="18"/>
      <c r="H35" s="52" t="s">
        <v>327</v>
      </c>
      <c r="I35" s="109">
        <f t="shared" ref="I35:O35" si="11">I33/$I$54*10000000</f>
        <v>12.000027648103734</v>
      </c>
      <c r="J35" s="109">
        <f t="shared" si="11"/>
        <v>17.850020275797341</v>
      </c>
      <c r="K35" s="109">
        <f t="shared" si="11"/>
        <v>19.148084150610899</v>
      </c>
      <c r="L35" s="109">
        <f t="shared" si="11"/>
        <v>26.399977422800362</v>
      </c>
      <c r="M35" s="109">
        <f t="shared" si="11"/>
        <v>33.300014171216972</v>
      </c>
      <c r="N35" s="109">
        <f t="shared" si="11"/>
        <v>24.799994587143491</v>
      </c>
      <c r="O35" s="109">
        <f t="shared" si="11"/>
        <v>27.499959106452902</v>
      </c>
      <c r="P35" s="110">
        <f>P33/P54*10000000</f>
        <v>29.739927275296075</v>
      </c>
      <c r="Q35" s="110">
        <f>Q33/Q54*10000000</f>
        <v>32.412821352696362</v>
      </c>
      <c r="R35" s="110">
        <f>R33/R54*10000000</f>
        <v>35.27793361308494</v>
      </c>
      <c r="S35" s="111">
        <f>S33/S54*10000000</f>
        <v>38.351304625517344</v>
      </c>
    </row>
    <row r="36" spans="1:29" x14ac:dyDescent="0.3">
      <c r="B36" s="573" t="s">
        <v>330</v>
      </c>
      <c r="C36" s="573"/>
      <c r="D36" s="573"/>
      <c r="E36" s="573"/>
      <c r="F36" s="573"/>
      <c r="G36" s="573"/>
      <c r="H36" s="573"/>
      <c r="I36" s="573"/>
      <c r="J36" s="573"/>
      <c r="K36" s="573"/>
      <c r="L36" s="573"/>
      <c r="M36" s="573"/>
      <c r="N36" s="573"/>
      <c r="O36" s="573"/>
      <c r="P36" s="573"/>
      <c r="Q36" s="573"/>
      <c r="R36" s="573"/>
      <c r="S36" s="573"/>
    </row>
    <row r="37" spans="1:29" ht="15" thickBot="1" x14ac:dyDescent="0.35">
      <c r="B37" s="574"/>
      <c r="C37" s="574"/>
      <c r="D37" s="574"/>
      <c r="E37" s="574"/>
      <c r="F37" s="574"/>
      <c r="G37" s="574"/>
      <c r="H37" s="574"/>
      <c r="I37" s="574"/>
      <c r="J37" s="574"/>
      <c r="K37" s="574"/>
      <c r="L37" s="574"/>
      <c r="M37" s="574"/>
      <c r="N37" s="574"/>
      <c r="O37" s="574"/>
      <c r="P37" s="574"/>
      <c r="Q37" s="574"/>
      <c r="R37" s="574"/>
      <c r="S37" s="574"/>
    </row>
    <row r="38" spans="1:29" ht="22.2" thickTop="1" thickBot="1" x14ac:dyDescent="0.45">
      <c r="B38" s="523" t="s">
        <v>25</v>
      </c>
      <c r="C38" s="523"/>
      <c r="D38" s="523"/>
      <c r="E38" s="523"/>
      <c r="F38" s="523"/>
      <c r="G38" s="523"/>
      <c r="H38" s="523"/>
      <c r="I38" s="523"/>
      <c r="J38" s="523"/>
      <c r="K38" s="523"/>
      <c r="L38" s="523"/>
      <c r="M38" s="523"/>
      <c r="N38" s="523"/>
      <c r="O38" s="523"/>
      <c r="P38" s="523"/>
      <c r="Q38" s="523"/>
      <c r="R38" s="523"/>
      <c r="S38" s="523"/>
      <c r="T38" s="523"/>
      <c r="U38" s="27"/>
      <c r="V38" s="27"/>
      <c r="W38" s="27"/>
      <c r="X38" s="27"/>
      <c r="Y38" s="27"/>
      <c r="Z38" s="27"/>
      <c r="AA38" s="27"/>
    </row>
    <row r="39" spans="1:29" ht="15" thickTop="1" x14ac:dyDescent="0.3">
      <c r="I39" s="40"/>
      <c r="P39" s="100"/>
      <c r="Q39" s="91"/>
      <c r="R39" s="58"/>
      <c r="S39" s="58"/>
    </row>
    <row r="40" spans="1:29" x14ac:dyDescent="0.3">
      <c r="B40" s="38" t="s">
        <v>18</v>
      </c>
      <c r="C40" s="39"/>
      <c r="D40" s="39"/>
      <c r="E40" s="39"/>
      <c r="F40" s="39"/>
      <c r="G40" s="39"/>
      <c r="H40" s="79"/>
      <c r="I40" s="54">
        <f>J40-1</f>
        <v>20</v>
      </c>
      <c r="J40" s="54">
        <v>21</v>
      </c>
      <c r="K40" s="33">
        <f>J40+1</f>
        <v>22</v>
      </c>
      <c r="L40" s="33">
        <f>K40+1</f>
        <v>23</v>
      </c>
      <c r="M40" s="33">
        <f>L40+1</f>
        <v>24</v>
      </c>
      <c r="N40" s="33">
        <f>M40+1</f>
        <v>25</v>
      </c>
      <c r="O40" s="33">
        <f>N40+1</f>
        <v>26</v>
      </c>
      <c r="P40" s="35" t="s">
        <v>140</v>
      </c>
      <c r="Q40" s="36">
        <f>O40+1</f>
        <v>27</v>
      </c>
      <c r="R40" s="36">
        <f>Q40+1</f>
        <v>28</v>
      </c>
      <c r="S40" s="36">
        <f>R40+1</f>
        <v>29</v>
      </c>
      <c r="T40" s="37">
        <f>S40+1</f>
        <v>30</v>
      </c>
    </row>
    <row r="41" spans="1:29" ht="7.2" customHeight="1" x14ac:dyDescent="0.3">
      <c r="B41" s="7"/>
      <c r="H41" s="11"/>
      <c r="K41" s="16"/>
      <c r="L41" s="16"/>
      <c r="M41" s="16"/>
      <c r="N41" s="16"/>
      <c r="O41" s="16"/>
      <c r="P41" s="149"/>
      <c r="T41" s="11"/>
    </row>
    <row r="42" spans="1:29" x14ac:dyDescent="0.3">
      <c r="B42" s="7" t="s">
        <v>32</v>
      </c>
      <c r="H42" s="11"/>
      <c r="I42" s="91">
        <v>0</v>
      </c>
      <c r="J42" s="45">
        <f t="shared" ref="J42:O43" si="12">J11/I11-1</f>
        <v>7.1670843242725546E-2</v>
      </c>
      <c r="K42" s="45">
        <f t="shared" si="12"/>
        <v>0.34620482937091568</v>
      </c>
      <c r="L42" s="45">
        <f t="shared" si="12"/>
        <v>0.18823288207366473</v>
      </c>
      <c r="M42" s="45">
        <f t="shared" si="12"/>
        <v>2.9512774009880616E-2</v>
      </c>
      <c r="N42" s="45">
        <f t="shared" si="12"/>
        <v>-4.4789854310595123E-2</v>
      </c>
      <c r="O42" s="45">
        <f t="shared" si="12"/>
        <v>5.0862256696972752E-2</v>
      </c>
      <c r="P42" s="463">
        <f>AVERAGE(I42:O42)</f>
        <v>9.1670533011937741E-2</v>
      </c>
      <c r="Q42" s="46">
        <f t="shared" ref="Q42:T43" si="13">P42</f>
        <v>9.1670533011937741E-2</v>
      </c>
      <c r="R42" s="47">
        <f t="shared" si="13"/>
        <v>9.1670533011937741E-2</v>
      </c>
      <c r="S42" s="47">
        <f t="shared" si="13"/>
        <v>9.1670533011937741E-2</v>
      </c>
      <c r="T42" s="48">
        <f t="shared" si="13"/>
        <v>9.1670533011937741E-2</v>
      </c>
      <c r="V42" s="43"/>
    </row>
    <row r="43" spans="1:29" x14ac:dyDescent="0.3">
      <c r="B43" s="7" t="s">
        <v>31</v>
      </c>
      <c r="H43" s="11"/>
      <c r="I43" s="91">
        <v>0</v>
      </c>
      <c r="J43" s="45">
        <f t="shared" si="12"/>
        <v>0.39685754618547842</v>
      </c>
      <c r="K43" s="45">
        <f t="shared" si="12"/>
        <v>-0.21877059624763828</v>
      </c>
      <c r="L43" s="45">
        <f t="shared" si="12"/>
        <v>-0.32080989876265464</v>
      </c>
      <c r="M43" s="45">
        <f t="shared" si="12"/>
        <v>-6.7489234845975576E-2</v>
      </c>
      <c r="N43" s="45">
        <f t="shared" si="12"/>
        <v>-3.862889619039156E-2</v>
      </c>
      <c r="O43" s="45">
        <f t="shared" si="12"/>
        <v>-0.37954923332717538</v>
      </c>
      <c r="P43" s="463">
        <f>MEDIAN(I43:O43)</f>
        <v>-6.7489234845975576E-2</v>
      </c>
      <c r="Q43" s="46">
        <f t="shared" si="13"/>
        <v>-6.7489234845975576E-2</v>
      </c>
      <c r="R43" s="47">
        <f t="shared" si="13"/>
        <v>-6.7489234845975576E-2</v>
      </c>
      <c r="S43" s="47">
        <f t="shared" si="13"/>
        <v>-6.7489234845975576E-2</v>
      </c>
      <c r="T43" s="48">
        <f t="shared" si="13"/>
        <v>-6.7489234845975576E-2</v>
      </c>
      <c r="AC43" s="212"/>
    </row>
    <row r="44" spans="1:29" x14ac:dyDescent="0.3">
      <c r="B44" s="8" t="s">
        <v>26</v>
      </c>
      <c r="H44" s="11"/>
      <c r="I44" s="91">
        <f t="shared" ref="I44:O46" si="14">I14/I$13</f>
        <v>0.49931498546601527</v>
      </c>
      <c r="J44" s="45">
        <f t="shared" si="14"/>
        <v>0.4751618746370227</v>
      </c>
      <c r="K44" s="45">
        <f t="shared" si="14"/>
        <v>0.55855240731679157</v>
      </c>
      <c r="L44" s="45">
        <f t="shared" si="14"/>
        <v>0.50250184191351399</v>
      </c>
      <c r="M44" s="45">
        <f t="shared" si="14"/>
        <v>0.44705819709010325</v>
      </c>
      <c r="N44" s="45">
        <f t="shared" si="14"/>
        <v>0.46582012067615924</v>
      </c>
      <c r="O44" s="45">
        <f t="shared" si="14"/>
        <v>0.43233613069413551</v>
      </c>
      <c r="P44" s="462">
        <f>MEDIAN(I44:O44)</f>
        <v>0.4751618746370227</v>
      </c>
      <c r="Q44" s="46">
        <f t="shared" ref="Q44:T46" si="15">P44</f>
        <v>0.4751618746370227</v>
      </c>
      <c r="R44" s="47">
        <f t="shared" si="15"/>
        <v>0.4751618746370227</v>
      </c>
      <c r="S44" s="47">
        <f t="shared" si="15"/>
        <v>0.4751618746370227</v>
      </c>
      <c r="T44" s="48">
        <f t="shared" si="15"/>
        <v>0.4751618746370227</v>
      </c>
    </row>
    <row r="45" spans="1:29" x14ac:dyDescent="0.3">
      <c r="B45" s="8" t="s">
        <v>27</v>
      </c>
      <c r="H45" s="11"/>
      <c r="I45" s="91">
        <f t="shared" si="14"/>
        <v>7.5741480611045825E-2</v>
      </c>
      <c r="J45" s="45">
        <f t="shared" si="14"/>
        <v>8.6243637966378336E-2</v>
      </c>
      <c r="K45" s="45">
        <f t="shared" si="14"/>
        <v>0.11584129632785913</v>
      </c>
      <c r="L45" s="45">
        <f t="shared" si="14"/>
        <v>0.11991357141593782</v>
      </c>
      <c r="M45" s="45">
        <f t="shared" si="14"/>
        <v>0.10869782640972336</v>
      </c>
      <c r="N45" s="45">
        <f t="shared" si="14"/>
        <v>0.11581737776805143</v>
      </c>
      <c r="O45" s="45">
        <f t="shared" si="14"/>
        <v>0.11280637058595069</v>
      </c>
      <c r="P45" s="462">
        <f>MEDIAN(I45:O45)</f>
        <v>0.11280637058595069</v>
      </c>
      <c r="Q45" s="46">
        <f t="shared" si="15"/>
        <v>0.11280637058595069</v>
      </c>
      <c r="R45" s="47">
        <f t="shared" si="15"/>
        <v>0.11280637058595069</v>
      </c>
      <c r="S45" s="47">
        <f t="shared" si="15"/>
        <v>0.11280637058595069</v>
      </c>
      <c r="T45" s="48">
        <f t="shared" si="15"/>
        <v>0.11280637058595069</v>
      </c>
    </row>
    <row r="46" spans="1:29" x14ac:dyDescent="0.3">
      <c r="B46" s="8" t="s">
        <v>28</v>
      </c>
      <c r="H46" s="11"/>
      <c r="I46" s="91">
        <f t="shared" si="14"/>
        <v>-1.1832519017873709E-2</v>
      </c>
      <c r="J46" s="45">
        <f t="shared" si="14"/>
        <v>-4.2578590775298802E-3</v>
      </c>
      <c r="K46" s="45">
        <f t="shared" si="14"/>
        <v>-4.5529612443164016E-2</v>
      </c>
      <c r="L46" s="45">
        <f t="shared" si="14"/>
        <v>-8.9806512820616909E-3</v>
      </c>
      <c r="M46" s="45">
        <f t="shared" si="14"/>
        <v>1.0249408855906215E-2</v>
      </c>
      <c r="N46" s="45">
        <f t="shared" si="14"/>
        <v>-6.0461952915180431E-3</v>
      </c>
      <c r="O46" s="45">
        <f t="shared" si="14"/>
        <v>1.696514736869912E-2</v>
      </c>
      <c r="P46" s="462">
        <f>MEDIAN(I46:O46)</f>
        <v>-6.0461952915180431E-3</v>
      </c>
      <c r="Q46" s="46">
        <f t="shared" si="15"/>
        <v>-6.0461952915180431E-3</v>
      </c>
      <c r="R46" s="47">
        <f t="shared" si="15"/>
        <v>-6.0461952915180431E-3</v>
      </c>
      <c r="S46" s="47">
        <f t="shared" si="15"/>
        <v>-6.0461952915180431E-3</v>
      </c>
      <c r="T46" s="48">
        <f t="shared" si="15"/>
        <v>-6.0461952915180431E-3</v>
      </c>
    </row>
    <row r="47" spans="1:29" x14ac:dyDescent="0.3">
      <c r="B47" s="8" t="s">
        <v>35</v>
      </c>
      <c r="H47" s="11"/>
      <c r="I47" s="91">
        <v>0</v>
      </c>
      <c r="J47" s="45">
        <f t="shared" ref="J47:O47" si="16">J20/I20-1</f>
        <v>0.1278539481293326</v>
      </c>
      <c r="K47" s="45">
        <f t="shared" si="16"/>
        <v>0.15961057926334576</v>
      </c>
      <c r="L47" s="45">
        <f t="shared" si="16"/>
        <v>0.13511168822446229</v>
      </c>
      <c r="M47" s="45">
        <f t="shared" si="16"/>
        <v>0.14699196773286904</v>
      </c>
      <c r="N47" s="45">
        <f t="shared" si="16"/>
        <v>0.11652150736400468</v>
      </c>
      <c r="O47" s="45">
        <f t="shared" si="16"/>
        <v>7.791377737050631E-2</v>
      </c>
      <c r="P47" s="462">
        <f>MEDIAN(J47:O47)</f>
        <v>0.13148281817689744</v>
      </c>
      <c r="Q47" s="46">
        <f t="shared" ref="Q47:T50" si="17">P47</f>
        <v>0.13148281817689744</v>
      </c>
      <c r="R47" s="47">
        <f t="shared" si="17"/>
        <v>0.13148281817689744</v>
      </c>
      <c r="S47" s="47">
        <f t="shared" si="17"/>
        <v>0.13148281817689744</v>
      </c>
      <c r="T47" s="48">
        <f t="shared" si="17"/>
        <v>0.13148281817689744</v>
      </c>
      <c r="U47" s="40"/>
    </row>
    <row r="48" spans="1:29" x14ac:dyDescent="0.3">
      <c r="B48" s="8" t="s">
        <v>29</v>
      </c>
      <c r="H48" s="11"/>
      <c r="I48" s="91">
        <f t="shared" ref="I48:O48" si="18">I21/I13</f>
        <v>0.16327194013235202</v>
      </c>
      <c r="J48" s="45">
        <f t="shared" si="18"/>
        <v>0.14826330471579194</v>
      </c>
      <c r="K48" s="45">
        <f t="shared" si="18"/>
        <v>0.14467576683912187</v>
      </c>
      <c r="L48" s="45">
        <f t="shared" si="18"/>
        <v>0.1462564865655569</v>
      </c>
      <c r="M48" s="45">
        <f t="shared" si="18"/>
        <v>0.15476551026025553</v>
      </c>
      <c r="N48" s="45">
        <f t="shared" si="18"/>
        <v>0.17066197285287804</v>
      </c>
      <c r="O48" s="45">
        <f t="shared" si="18"/>
        <v>0.17104116116608972</v>
      </c>
      <c r="P48" s="462">
        <f>MEDIAN(I48:O48)</f>
        <v>0.15476551026025553</v>
      </c>
      <c r="Q48" s="46">
        <f>P48</f>
        <v>0.15476551026025553</v>
      </c>
      <c r="R48" s="47">
        <f t="shared" si="17"/>
        <v>0.15476551026025553</v>
      </c>
      <c r="S48" s="47">
        <f t="shared" si="17"/>
        <v>0.15476551026025553</v>
      </c>
      <c r="T48" s="48">
        <f t="shared" si="17"/>
        <v>0.15476551026025553</v>
      </c>
      <c r="X48" s="44"/>
    </row>
    <row r="49" spans="2:28" x14ac:dyDescent="0.3">
      <c r="B49" s="8" t="s">
        <v>141</v>
      </c>
      <c r="H49" s="11"/>
      <c r="I49" s="91">
        <v>0</v>
      </c>
      <c r="J49" s="45">
        <f t="shared" ref="J49:O49" si="19">J19/I19-1</f>
        <v>-4.1405146068154153E-3</v>
      </c>
      <c r="K49" s="45">
        <f t="shared" si="19"/>
        <v>0.25395149315294496</v>
      </c>
      <c r="L49" s="45">
        <f t="shared" si="19"/>
        <v>1.7025867740322775E-2</v>
      </c>
      <c r="M49" s="45">
        <f t="shared" si="19"/>
        <v>0.78006623887393922</v>
      </c>
      <c r="N49" s="45">
        <f t="shared" si="19"/>
        <v>-0.16766963195534623</v>
      </c>
      <c r="O49" s="222">
        <f t="shared" si="19"/>
        <v>0.26403660432056708</v>
      </c>
      <c r="P49" s="465">
        <f>(O19/I19)^(1/6)-1</f>
        <v>0.15535928562867984</v>
      </c>
      <c r="Q49" s="46">
        <f>P49</f>
        <v>0.15535928562867984</v>
      </c>
      <c r="R49" s="47">
        <f>Q49</f>
        <v>0.15535928562867984</v>
      </c>
      <c r="S49" s="47">
        <f>R49</f>
        <v>0.15535928562867984</v>
      </c>
      <c r="T49" s="48">
        <f>S49</f>
        <v>0.15535928562867984</v>
      </c>
    </row>
    <row r="50" spans="2:28" x14ac:dyDescent="0.3">
      <c r="B50" s="7" t="s">
        <v>36</v>
      </c>
      <c r="H50" s="11"/>
      <c r="I50" s="91">
        <v>0</v>
      </c>
      <c r="J50" s="45">
        <f t="shared" ref="J50:O50" si="20">J25/I25-1</f>
        <v>-0.43634213638155306</v>
      </c>
      <c r="K50" s="45">
        <f t="shared" si="20"/>
        <v>0.1038461538461537</v>
      </c>
      <c r="L50" s="45">
        <f t="shared" si="20"/>
        <v>1.9727589483687042</v>
      </c>
      <c r="M50" s="45">
        <f t="shared" si="20"/>
        <v>0.41715503462972836</v>
      </c>
      <c r="N50" s="45">
        <f t="shared" si="20"/>
        <v>5.7969924812030227E-2</v>
      </c>
      <c r="O50" s="45">
        <f t="shared" si="20"/>
        <v>0.17681756804775772</v>
      </c>
      <c r="P50" s="462">
        <f>MEDIAN(I50:O50)</f>
        <v>0.1038461538461537</v>
      </c>
      <c r="Q50" s="46">
        <f t="shared" si="17"/>
        <v>0.1038461538461537</v>
      </c>
      <c r="R50" s="47">
        <f t="shared" si="17"/>
        <v>0.1038461538461537</v>
      </c>
      <c r="S50" s="47">
        <f t="shared" si="17"/>
        <v>0.1038461538461537</v>
      </c>
      <c r="T50" s="48">
        <f t="shared" si="17"/>
        <v>0.1038461538461537</v>
      </c>
    </row>
    <row r="51" spans="2:28" x14ac:dyDescent="0.3">
      <c r="B51" s="7" t="s">
        <v>30</v>
      </c>
      <c r="H51" s="11"/>
      <c r="I51" s="91">
        <f t="shared" ref="I51:O51" si="21">I29/I28</f>
        <v>0.23523730114832464</v>
      </c>
      <c r="J51" s="45">
        <f t="shared" si="21"/>
        <v>0.25499785101118627</v>
      </c>
      <c r="K51" s="45">
        <f t="shared" si="21"/>
        <v>0.26336765590822697</v>
      </c>
      <c r="L51" s="45">
        <f t="shared" si="21"/>
        <v>0.26253201449155628</v>
      </c>
      <c r="M51" s="45">
        <f t="shared" si="21"/>
        <v>0.24362221463110587</v>
      </c>
      <c r="N51" s="45">
        <f t="shared" si="21"/>
        <v>0.27304348166887749</v>
      </c>
      <c r="O51" s="45">
        <f t="shared" si="21"/>
        <v>0.26797136308516445</v>
      </c>
      <c r="P51" s="462">
        <f t="shared" ref="P51:T52" si="22">O51</f>
        <v>0.26797136308516445</v>
      </c>
      <c r="Q51" s="46">
        <f t="shared" si="22"/>
        <v>0.26797136308516445</v>
      </c>
      <c r="R51" s="47">
        <f t="shared" si="22"/>
        <v>0.26797136308516445</v>
      </c>
      <c r="S51" s="47">
        <f t="shared" si="22"/>
        <v>0.26797136308516445</v>
      </c>
      <c r="T51" s="48">
        <f t="shared" si="22"/>
        <v>0.26797136308516445</v>
      </c>
    </row>
    <row r="52" spans="2:28" x14ac:dyDescent="0.3">
      <c r="B52" s="7" t="s">
        <v>106</v>
      </c>
      <c r="H52" s="11"/>
      <c r="I52" s="91">
        <f t="shared" ref="I52:O52" si="23">I32/I31</f>
        <v>0.97512066585201473</v>
      </c>
      <c r="J52" s="45">
        <f t="shared" si="23"/>
        <v>0.97896312465892221</v>
      </c>
      <c r="K52" s="45">
        <f t="shared" si="23"/>
        <v>0.9824170694467409</v>
      </c>
      <c r="L52" s="45">
        <f t="shared" si="23"/>
        <v>0.97881453902315185</v>
      </c>
      <c r="M52" s="45">
        <f t="shared" si="23"/>
        <v>0.9824639373552686</v>
      </c>
      <c r="N52" s="45">
        <f t="shared" si="23"/>
        <v>0.98854897013513066</v>
      </c>
      <c r="O52" s="45">
        <f t="shared" si="23"/>
        <v>0.9842218677540393</v>
      </c>
      <c r="P52" s="462">
        <f t="shared" si="22"/>
        <v>0.9842218677540393</v>
      </c>
      <c r="Q52" s="47">
        <f t="shared" si="22"/>
        <v>0.9842218677540393</v>
      </c>
      <c r="R52" s="47">
        <f t="shared" si="22"/>
        <v>0.9842218677540393</v>
      </c>
      <c r="S52" s="47">
        <f t="shared" si="22"/>
        <v>0.9842218677540393</v>
      </c>
      <c r="T52" s="48">
        <f t="shared" si="22"/>
        <v>0.9842218677540393</v>
      </c>
    </row>
    <row r="53" spans="2:28" x14ac:dyDescent="0.3">
      <c r="B53" s="7" t="s">
        <v>97</v>
      </c>
      <c r="H53" s="11"/>
      <c r="I53" s="91">
        <f t="shared" ref="I53:O53" si="24">I33/I32</f>
        <v>0.42549636436896754</v>
      </c>
      <c r="J53" s="91">
        <f t="shared" si="24"/>
        <v>0.54540039308251231</v>
      </c>
      <c r="K53" s="91">
        <f t="shared" si="24"/>
        <v>0.60605100690629155</v>
      </c>
      <c r="L53" s="91">
        <f t="shared" si="24"/>
        <v>0.61665915815363648</v>
      </c>
      <c r="M53" s="91">
        <f t="shared" si="24"/>
        <v>0.58498085245493325</v>
      </c>
      <c r="N53" s="91">
        <f t="shared" si="24"/>
        <v>0.64866670484261957</v>
      </c>
      <c r="O53" s="91">
        <f t="shared" si="24"/>
        <v>0.60984429005745189</v>
      </c>
      <c r="P53" s="462">
        <f>MEDIAN(I53:O53)</f>
        <v>0.60605100690629155</v>
      </c>
      <c r="Q53" s="187">
        <f t="shared" ref="Q53:T54" si="25">P53</f>
        <v>0.60605100690629155</v>
      </c>
      <c r="R53" s="187">
        <f t="shared" si="25"/>
        <v>0.60605100690629155</v>
      </c>
      <c r="S53" s="187">
        <f t="shared" si="25"/>
        <v>0.60605100690629155</v>
      </c>
      <c r="T53" s="104">
        <f t="shared" si="25"/>
        <v>0.60605100690629155</v>
      </c>
    </row>
    <row r="54" spans="2:28" x14ac:dyDescent="0.3">
      <c r="B54" s="92" t="s">
        <v>105</v>
      </c>
      <c r="C54" s="74"/>
      <c r="D54" s="74"/>
      <c r="E54" s="74"/>
      <c r="F54" s="74"/>
      <c r="G54" s="74"/>
      <c r="H54" s="140" t="s">
        <v>109</v>
      </c>
      <c r="I54" s="186">
        <v>959197790</v>
      </c>
      <c r="J54" s="186">
        <v>959197790</v>
      </c>
      <c r="K54" s="186">
        <v>959077302</v>
      </c>
      <c r="L54" s="186">
        <v>958868120</v>
      </c>
      <c r="M54" s="186">
        <v>958841696</v>
      </c>
      <c r="N54" s="186">
        <v>958721421</v>
      </c>
      <c r="O54" s="186">
        <v>958616565</v>
      </c>
      <c r="P54" s="466">
        <f>O54</f>
        <v>958616565</v>
      </c>
      <c r="Q54" s="188">
        <f t="shared" si="25"/>
        <v>958616565</v>
      </c>
      <c r="R54" s="188">
        <f t="shared" si="25"/>
        <v>958616565</v>
      </c>
      <c r="S54" s="188">
        <f t="shared" si="25"/>
        <v>958616565</v>
      </c>
      <c r="T54" s="97">
        <f t="shared" si="25"/>
        <v>958616565</v>
      </c>
    </row>
    <row r="55" spans="2:28" x14ac:dyDescent="0.3">
      <c r="B55" s="575"/>
      <c r="C55" s="575"/>
      <c r="D55" s="575"/>
      <c r="E55" s="575"/>
      <c r="F55" s="575"/>
      <c r="G55" s="575"/>
      <c r="H55" s="575"/>
      <c r="I55" s="576"/>
      <c r="J55" s="575"/>
      <c r="K55" s="575"/>
      <c r="L55" s="575"/>
      <c r="M55" s="575"/>
      <c r="N55" s="575"/>
      <c r="O55" s="575"/>
      <c r="P55" s="575"/>
      <c r="Q55" s="575"/>
      <c r="R55" s="575"/>
      <c r="S55" s="575"/>
    </row>
    <row r="56" spans="2:28" x14ac:dyDescent="0.3">
      <c r="B56" s="576"/>
      <c r="C56" s="576"/>
      <c r="D56" s="576"/>
      <c r="E56" s="576"/>
      <c r="F56" s="576"/>
      <c r="G56" s="576"/>
      <c r="H56" s="576"/>
      <c r="I56" s="576"/>
      <c r="J56" s="576"/>
      <c r="K56" s="576"/>
      <c r="L56" s="576"/>
      <c r="M56" s="576"/>
      <c r="N56" s="576"/>
      <c r="O56" s="576"/>
      <c r="P56" s="576"/>
      <c r="Q56" s="576"/>
      <c r="R56" s="576"/>
      <c r="S56" s="576"/>
    </row>
    <row r="57" spans="2:28" x14ac:dyDescent="0.3">
      <c r="O57" s="100"/>
      <c r="P57" s="4"/>
    </row>
    <row r="58" spans="2:28" x14ac:dyDescent="0.3">
      <c r="B58" s="32"/>
      <c r="O58" s="95"/>
      <c r="R58" s="43"/>
      <c r="S58" s="43"/>
    </row>
    <row r="59" spans="2:28" x14ac:dyDescent="0.3">
      <c r="B59" s="25"/>
      <c r="P59" s="43"/>
      <c r="U59" s="43"/>
      <c r="V59" s="43"/>
      <c r="X59" s="43"/>
      <c r="Y59" s="43"/>
      <c r="AB59" s="43"/>
    </row>
    <row r="60" spans="2:28" x14ac:dyDescent="0.3">
      <c r="B60" s="25"/>
      <c r="C60" s="1"/>
      <c r="D60" s="1"/>
      <c r="E60" s="1"/>
      <c r="F60" s="1"/>
      <c r="G60" s="1"/>
      <c r="H60" s="189"/>
      <c r="I60" s="171"/>
      <c r="J60" s="171"/>
      <c r="K60" s="171"/>
      <c r="L60" s="100"/>
      <c r="M60" s="100"/>
      <c r="N60" s="100"/>
      <c r="O60" s="190"/>
      <c r="P60" s="190"/>
      <c r="R60" s="89"/>
      <c r="S60" s="89"/>
    </row>
    <row r="61" spans="2:28" x14ac:dyDescent="0.3">
      <c r="H61" s="43"/>
      <c r="I61" s="43"/>
      <c r="J61" s="43"/>
      <c r="K61" s="43"/>
      <c r="L61" s="43"/>
      <c r="M61" s="43"/>
      <c r="N61" s="43"/>
      <c r="O61" s="43"/>
      <c r="P61" s="43"/>
      <c r="R61" s="43"/>
      <c r="S61" s="43"/>
      <c r="Y61" s="43"/>
    </row>
    <row r="62" spans="2:28" x14ac:dyDescent="0.3">
      <c r="V62" s="43"/>
      <c r="X62" s="43"/>
      <c r="Y62" s="43"/>
    </row>
    <row r="64" spans="2:28" x14ac:dyDescent="0.3">
      <c r="H64" s="40"/>
      <c r="I64" s="40"/>
      <c r="J64" s="40"/>
      <c r="K64" s="40"/>
      <c r="L64" s="40"/>
      <c r="M64" s="40"/>
      <c r="N64" s="40"/>
    </row>
  </sheetData>
  <mergeCells count="8">
    <mergeCell ref="B36:S37"/>
    <mergeCell ref="B55:S56"/>
    <mergeCell ref="G2:J2"/>
    <mergeCell ref="B38:T38"/>
    <mergeCell ref="B6:AA6"/>
    <mergeCell ref="I8:O8"/>
    <mergeCell ref="P8:S8"/>
    <mergeCell ref="G4:H4"/>
  </mergeCells>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75323-F832-4753-9D24-7CBEB764B914}">
  <sheetPr codeName="Sheet7"/>
  <dimension ref="A2:AF78"/>
  <sheetViews>
    <sheetView showGridLines="0" zoomScale="80" zoomScaleNormal="80" workbookViewId="0">
      <selection activeCell="V27" sqref="V27"/>
    </sheetView>
  </sheetViews>
  <sheetFormatPr defaultRowHeight="14.4" x14ac:dyDescent="0.3"/>
  <cols>
    <col min="1" max="1" width="3" customWidth="1"/>
    <col min="10" max="21" width="14.88671875" customWidth="1"/>
    <col min="28" max="28" width="11.44140625" bestFit="1" customWidth="1"/>
    <col min="31" max="41" width="14.88671875" customWidth="1"/>
  </cols>
  <sheetData>
    <row r="2" spans="1:32" x14ac:dyDescent="0.3">
      <c r="D2" s="516" t="s">
        <v>34</v>
      </c>
      <c r="E2" s="516"/>
      <c r="F2" s="516"/>
      <c r="G2" s="516"/>
      <c r="H2" s="1"/>
      <c r="M2" s="86"/>
    </row>
    <row r="3" spans="1:32" x14ac:dyDescent="0.3">
      <c r="D3" s="17" t="s">
        <v>326</v>
      </c>
    </row>
    <row r="4" spans="1:32" ht="18" x14ac:dyDescent="0.3">
      <c r="D4" s="572">
        <v>2649.4</v>
      </c>
      <c r="E4" s="572"/>
      <c r="F4" s="239"/>
      <c r="G4" s="42"/>
      <c r="P4" s="44"/>
    </row>
    <row r="5" spans="1:32" ht="18.600000000000001" thickBot="1" x14ac:dyDescent="0.35">
      <c r="D5" s="240" t="s">
        <v>272</v>
      </c>
      <c r="G5" s="240"/>
      <c r="H5" s="239"/>
      <c r="I5" s="239"/>
      <c r="J5" s="42"/>
    </row>
    <row r="6" spans="1:32" ht="22.2" thickTop="1" thickBot="1" x14ac:dyDescent="0.45">
      <c r="A6" s="1"/>
      <c r="B6" s="523" t="s">
        <v>185</v>
      </c>
      <c r="C6" s="523"/>
      <c r="D6" s="523"/>
      <c r="E6" s="523"/>
      <c r="F6" s="523"/>
      <c r="G6" s="523"/>
      <c r="H6" s="523"/>
      <c r="I6" s="523"/>
      <c r="J6" s="523"/>
      <c r="K6" s="523"/>
      <c r="L6" s="523"/>
      <c r="M6" s="523"/>
      <c r="N6" s="523"/>
      <c r="O6" s="523"/>
      <c r="P6" s="523"/>
      <c r="Q6" s="523"/>
      <c r="R6" s="523"/>
      <c r="S6" s="523"/>
      <c r="T6" s="523"/>
    </row>
    <row r="7" spans="1:32" ht="15" thickTop="1" x14ac:dyDescent="0.3">
      <c r="A7" s="1"/>
      <c r="B7" s="1" t="s">
        <v>325</v>
      </c>
      <c r="T7" s="6"/>
    </row>
    <row r="8" spans="1:32" ht="15" thickBot="1" x14ac:dyDescent="0.35">
      <c r="B8" s="13"/>
      <c r="C8" s="12"/>
      <c r="D8" s="12"/>
      <c r="E8" s="12"/>
      <c r="F8" s="12"/>
      <c r="G8" s="12"/>
      <c r="H8" s="12"/>
      <c r="I8" s="12"/>
      <c r="J8" s="565" t="s">
        <v>299</v>
      </c>
      <c r="K8" s="566"/>
      <c r="L8" s="566"/>
      <c r="M8" s="566"/>
      <c r="N8" s="566"/>
      <c r="O8" s="566"/>
      <c r="P8" s="566"/>
      <c r="Q8" s="517" t="s">
        <v>21</v>
      </c>
      <c r="R8" s="517"/>
      <c r="S8" s="517"/>
      <c r="T8" s="518"/>
    </row>
    <row r="9" spans="1:32" ht="16.2" thickTop="1" x14ac:dyDescent="0.3">
      <c r="B9" s="14" t="s">
        <v>18</v>
      </c>
      <c r="C9" s="15"/>
      <c r="D9" s="15"/>
      <c r="E9" s="15"/>
      <c r="F9" s="15"/>
      <c r="G9" s="15"/>
      <c r="H9" s="15"/>
      <c r="I9" s="21"/>
      <c r="J9" s="29">
        <f>K9-1</f>
        <v>20</v>
      </c>
      <c r="K9" s="29">
        <v>21</v>
      </c>
      <c r="L9" s="29">
        <f t="shared" ref="L9:T9" si="0">K9+1</f>
        <v>22</v>
      </c>
      <c r="M9" s="29">
        <f t="shared" si="0"/>
        <v>23</v>
      </c>
      <c r="N9" s="29">
        <f t="shared" si="0"/>
        <v>24</v>
      </c>
      <c r="O9" s="29">
        <f t="shared" si="0"/>
        <v>25</v>
      </c>
      <c r="P9" s="29">
        <f t="shared" si="0"/>
        <v>26</v>
      </c>
      <c r="Q9" s="30">
        <f t="shared" si="0"/>
        <v>27</v>
      </c>
      <c r="R9" s="30">
        <f t="shared" si="0"/>
        <v>28</v>
      </c>
      <c r="S9" s="30">
        <f t="shared" si="0"/>
        <v>29</v>
      </c>
      <c r="T9" s="31">
        <f t="shared" si="0"/>
        <v>30</v>
      </c>
      <c r="U9" s="127" t="s">
        <v>235</v>
      </c>
    </row>
    <row r="10" spans="1:32" ht="6" customHeight="1" x14ac:dyDescent="0.3">
      <c r="B10" s="7"/>
      <c r="I10" s="11"/>
      <c r="J10" s="71"/>
      <c r="K10" s="71"/>
      <c r="L10" s="71"/>
      <c r="M10" s="71"/>
      <c r="N10" s="71"/>
      <c r="O10" s="71"/>
      <c r="P10" s="71"/>
      <c r="Q10" s="71"/>
      <c r="R10" s="71"/>
      <c r="S10" s="71"/>
      <c r="T10" s="72"/>
      <c r="U10" s="149"/>
    </row>
    <row r="11" spans="1:32" ht="18" x14ac:dyDescent="0.35">
      <c r="B11" s="50" t="s">
        <v>186</v>
      </c>
      <c r="I11" s="11"/>
      <c r="J11" s="191"/>
      <c r="L11" s="191"/>
      <c r="M11" s="191"/>
      <c r="N11" s="191"/>
      <c r="O11" s="191"/>
      <c r="P11" s="191"/>
      <c r="Q11" s="265"/>
      <c r="R11" s="265"/>
      <c r="S11" s="265"/>
      <c r="T11" s="267"/>
      <c r="U11" s="149"/>
    </row>
    <row r="12" spans="1:32" x14ac:dyDescent="0.3">
      <c r="A12" s="1"/>
      <c r="B12" s="7" t="s">
        <v>187</v>
      </c>
      <c r="H12" s="1"/>
      <c r="I12" s="78"/>
      <c r="Q12" s="266"/>
      <c r="R12" s="266"/>
      <c r="S12" s="266"/>
      <c r="T12" s="268"/>
      <c r="U12" s="149"/>
    </row>
    <row r="13" spans="1:32" x14ac:dyDescent="0.3">
      <c r="A13" s="1"/>
      <c r="B13" s="49" t="s">
        <v>217</v>
      </c>
      <c r="H13" s="1"/>
      <c r="I13" s="78"/>
      <c r="J13" s="272">
        <f>SOPL!I28</f>
        <v>3633.9899999999989</v>
      </c>
      <c r="K13" s="58">
        <f>SOPL!J28</f>
        <v>4304.3500000000013</v>
      </c>
      <c r="L13" s="272">
        <f>SOPL!K28</f>
        <v>4187.7199999999993</v>
      </c>
      <c r="M13" s="272">
        <f>SOPL!L28</f>
        <v>5688.83</v>
      </c>
      <c r="N13" s="272">
        <f>SOPL!M28</f>
        <v>7347.7699999999968</v>
      </c>
      <c r="O13" s="272">
        <f>SOPL!N28</f>
        <v>5103.0700000000043</v>
      </c>
      <c r="P13" s="272">
        <f>SOPL!O28</f>
        <v>6003.4400000000014</v>
      </c>
      <c r="Q13" s="265">
        <f>SOPL!P28</f>
        <v>6529.1188382162745</v>
      </c>
      <c r="R13" s="265">
        <f>SOPL!Q28</f>
        <v>7115.9273704552679</v>
      </c>
      <c r="S13" s="265">
        <f>SOPL!R28</f>
        <v>7744.9355808568598</v>
      </c>
      <c r="T13" s="267">
        <f>SOPL!S28</f>
        <v>8419.6650241520565</v>
      </c>
      <c r="U13" s="149"/>
    </row>
    <row r="14" spans="1:32" x14ac:dyDescent="0.3">
      <c r="A14" s="1"/>
      <c r="B14" s="49" t="s">
        <v>218</v>
      </c>
      <c r="H14" s="1"/>
      <c r="I14" s="78"/>
      <c r="J14" s="272">
        <v>-5.73</v>
      </c>
      <c r="K14" s="58">
        <v>0</v>
      </c>
      <c r="L14" s="272">
        <v>0</v>
      </c>
      <c r="M14" s="272">
        <v>0</v>
      </c>
      <c r="N14" s="272">
        <v>0</v>
      </c>
      <c r="O14" s="272">
        <v>0</v>
      </c>
      <c r="P14" s="272">
        <v>0</v>
      </c>
      <c r="Q14" s="265">
        <v>0</v>
      </c>
      <c r="R14" s="265">
        <v>0</v>
      </c>
      <c r="S14" s="265">
        <v>0</v>
      </c>
      <c r="T14" s="267">
        <v>0</v>
      </c>
      <c r="U14" s="149"/>
    </row>
    <row r="15" spans="1:32" x14ac:dyDescent="0.3">
      <c r="B15" s="7" t="s">
        <v>188</v>
      </c>
      <c r="I15" s="11"/>
      <c r="J15" s="272"/>
      <c r="K15" s="58"/>
      <c r="L15" s="272"/>
      <c r="M15" s="272"/>
      <c r="N15" s="272"/>
      <c r="O15" s="272"/>
      <c r="P15" s="272"/>
      <c r="Q15" s="265"/>
      <c r="R15" s="265"/>
      <c r="S15" s="265"/>
      <c r="T15" s="267"/>
      <c r="U15" s="149"/>
    </row>
    <row r="16" spans="1:32" x14ac:dyDescent="0.3">
      <c r="B16" s="49" t="s">
        <v>219</v>
      </c>
      <c r="I16" s="11"/>
      <c r="J16" s="272">
        <f>SOPL!I23</f>
        <v>780.5</v>
      </c>
      <c r="K16" s="58">
        <f>SOPL!J23</f>
        <v>791.27</v>
      </c>
      <c r="L16" s="272">
        <f>SOPL!K23</f>
        <v>816.36</v>
      </c>
      <c r="M16" s="272">
        <f>SOPL!L23</f>
        <v>858.02</v>
      </c>
      <c r="N16" s="272">
        <f>SOPL!M23</f>
        <v>853</v>
      </c>
      <c r="O16" s="272">
        <f>SOPL!N23</f>
        <v>1026.3399999999999</v>
      </c>
      <c r="P16" s="272">
        <f>SOPL!O23</f>
        <v>1228.8499999999999</v>
      </c>
      <c r="Q16" s="265">
        <f>SOPL!P23</f>
        <v>1338.0711261339598</v>
      </c>
      <c r="R16" s="265">
        <f>SOPL!Q23</f>
        <v>1402.933685435079</v>
      </c>
      <c r="S16" s="265">
        <f>SOPL!R23</f>
        <v>1477.7124536734541</v>
      </c>
      <c r="T16" s="267">
        <f>SOPL!S23</f>
        <v>1562.8010873786816</v>
      </c>
      <c r="U16" s="149"/>
      <c r="AF16" s="44"/>
    </row>
    <row r="17" spans="1:21" x14ac:dyDescent="0.3">
      <c r="B17" s="49" t="s">
        <v>189</v>
      </c>
      <c r="I17" s="11"/>
      <c r="J17" s="272">
        <f>SOPL!I27</f>
        <v>102.33</v>
      </c>
      <c r="K17" s="58">
        <f>SOPL!J27</f>
        <v>91.63</v>
      </c>
      <c r="L17" s="272">
        <f>SOPL!K27</f>
        <v>95.41</v>
      </c>
      <c r="M17" s="272">
        <f>SOPL!L27</f>
        <v>144.44999999999999</v>
      </c>
      <c r="N17" s="272">
        <f>SOPL!M27</f>
        <v>205.17</v>
      </c>
      <c r="O17" s="272">
        <f>SOPL!N27</f>
        <v>227.02</v>
      </c>
      <c r="P17" s="272">
        <f>SOPL!O27</f>
        <v>195.41</v>
      </c>
      <c r="Q17" s="265">
        <f>SOPL!P27</f>
        <v>209.84590554357032</v>
      </c>
      <c r="R17" s="265">
        <f>SOPL!Q27</f>
        <v>225.34826300292227</v>
      </c>
      <c r="S17" s="265">
        <f>SOPL!R27</f>
        <v>241.99585646854754</v>
      </c>
      <c r="T17" s="267">
        <f>SOPL!S27</f>
        <v>259.87329020231431</v>
      </c>
      <c r="U17" s="149"/>
    </row>
    <row r="18" spans="1:21" x14ac:dyDescent="0.3">
      <c r="B18" s="49" t="s">
        <v>190</v>
      </c>
      <c r="G18" s="1"/>
      <c r="H18" s="1"/>
      <c r="I18" s="78"/>
      <c r="J18" s="272">
        <f>-SOPL!I25</f>
        <v>-50.74</v>
      </c>
      <c r="K18" s="58">
        <f>-SOPL!J25</f>
        <v>-28.6</v>
      </c>
      <c r="L18" s="272">
        <f>-SOPL!K25</f>
        <v>-31.57</v>
      </c>
      <c r="M18" s="272">
        <f>-SOPL!L25</f>
        <v>-93.85</v>
      </c>
      <c r="N18" s="272">
        <f>-SOPL!M25</f>
        <v>-133</v>
      </c>
      <c r="O18" s="272">
        <f>-SOPL!N25</f>
        <v>-140.71</v>
      </c>
      <c r="P18" s="272">
        <f>-SOPL!O25</f>
        <v>-165.59</v>
      </c>
      <c r="Q18" s="265">
        <f>-SOPL!P25</f>
        <v>-182.78588461538459</v>
      </c>
      <c r="R18" s="265">
        <f>-SOPL!Q25</f>
        <v>-201.76749571005911</v>
      </c>
      <c r="S18" s="265">
        <f>-SOPL!R25</f>
        <v>-222.72027411071906</v>
      </c>
      <c r="T18" s="267">
        <f>-SOPL!S25</f>
        <v>-245.84891796067831</v>
      </c>
      <c r="U18" s="149"/>
    </row>
    <row r="19" spans="1:21" x14ac:dyDescent="0.3">
      <c r="A19" s="1"/>
      <c r="B19" s="49" t="s">
        <v>191</v>
      </c>
      <c r="G19" s="1"/>
      <c r="H19" s="1"/>
      <c r="I19" s="78"/>
      <c r="J19" s="272">
        <v>0</v>
      </c>
      <c r="K19" s="58">
        <v>0</v>
      </c>
      <c r="L19" s="272">
        <v>13.47</v>
      </c>
      <c r="M19" s="272">
        <v>-27.58</v>
      </c>
      <c r="N19" s="272">
        <v>0</v>
      </c>
      <c r="O19" s="272">
        <v>223.25</v>
      </c>
      <c r="P19" s="272">
        <v>93.87</v>
      </c>
      <c r="Q19" s="265">
        <f>Schedule!Z36</f>
        <v>25.72</v>
      </c>
      <c r="R19" s="265">
        <f>Q19</f>
        <v>25.72</v>
      </c>
      <c r="S19" s="265">
        <f>R19</f>
        <v>25.72</v>
      </c>
      <c r="T19" s="267">
        <f>S19</f>
        <v>25.72</v>
      </c>
      <c r="U19" s="149"/>
    </row>
    <row r="20" spans="1:21" x14ac:dyDescent="0.3">
      <c r="A20" s="1"/>
      <c r="B20" s="49" t="s">
        <v>220</v>
      </c>
      <c r="I20" s="11"/>
      <c r="J20" s="272">
        <f>J21-SUM(J13:J19)</f>
        <v>-80.609999999998763</v>
      </c>
      <c r="K20" s="58">
        <f>K21-SUM(K13:K19)</f>
        <v>-189.1200000000008</v>
      </c>
      <c r="L20" s="272">
        <f>L21-SUM(L13:L19)</f>
        <v>-123.98999999999978</v>
      </c>
      <c r="M20" s="272">
        <f>M21-SUM(M13:M19)</f>
        <v>-110.05000000000018</v>
      </c>
      <c r="N20" s="272">
        <f>N21-SUM(N13:N19)</f>
        <v>-344.33999999999651</v>
      </c>
      <c r="O20" s="272">
        <f>-179.84-20.64+227.02+245.18-227.02+6.06-4.69-11.06-3.37-2.07-182.43+21.25+83.71-18.29-1.78+18.66</f>
        <v>-49.31</v>
      </c>
      <c r="P20" s="272">
        <f>-180.93-2.13+5.7+121.95-4.08+2.94+3.81-6.87-286.5+29.35+19.96+70.17+56.93</f>
        <v>-169.7</v>
      </c>
      <c r="Q20" s="265">
        <f>P20*(1+R73)</f>
        <v>-281.28825782329369</v>
      </c>
      <c r="R20" s="265">
        <f>Q20*(1+S73)</f>
        <v>-466.252704709863</v>
      </c>
      <c r="S20" s="265">
        <f>R20*(1+T73)</f>
        <v>-772.84272842213306</v>
      </c>
      <c r="T20" s="267">
        <f>S20*(1+U73)</f>
        <v>-1281.034676778213</v>
      </c>
      <c r="U20" s="149"/>
    </row>
    <row r="21" spans="1:21" s="1" customFormat="1" x14ac:dyDescent="0.3">
      <c r="B21" s="9" t="s">
        <v>195</v>
      </c>
      <c r="C21" s="18"/>
      <c r="D21" s="18"/>
      <c r="E21" s="18"/>
      <c r="F21" s="18"/>
      <c r="G21" s="18"/>
      <c r="H21" s="18"/>
      <c r="I21" s="19"/>
      <c r="J21" s="62">
        <v>4379.74</v>
      </c>
      <c r="K21" s="62">
        <v>4969.53</v>
      </c>
      <c r="L21" s="62">
        <v>4957.3999999999996</v>
      </c>
      <c r="M21" s="62">
        <v>6459.82</v>
      </c>
      <c r="N21" s="62">
        <v>7928.6</v>
      </c>
      <c r="O21" s="62">
        <f>SUM(O13:O20)</f>
        <v>6389.6600000000044</v>
      </c>
      <c r="P21" s="62">
        <f>SUM(P13:P20)</f>
        <v>7186.2800000000007</v>
      </c>
      <c r="Q21" s="63">
        <f>SUM(Q13:Q20)</f>
        <v>7638.6817274551267</v>
      </c>
      <c r="R21" s="63">
        <f>SUM(R12:R20)</f>
        <v>8101.9091184733479</v>
      </c>
      <c r="S21" s="63">
        <f>SUM(S12:S20)</f>
        <v>8494.8008884660085</v>
      </c>
      <c r="T21" s="64">
        <f>SUM(T12:T20)</f>
        <v>8741.1758069941607</v>
      </c>
      <c r="U21" s="287"/>
    </row>
    <row r="22" spans="1:21" x14ac:dyDescent="0.3">
      <c r="B22" s="7" t="s">
        <v>196</v>
      </c>
      <c r="I22" s="11"/>
      <c r="J22" s="272">
        <f t="shared" ref="J22:P22" si="1">J23-J21</f>
        <v>-330.83999999999969</v>
      </c>
      <c r="K22" s="58">
        <f t="shared" si="1"/>
        <v>-206.46000000000004</v>
      </c>
      <c r="L22" s="272">
        <f t="shared" si="1"/>
        <v>-2795.22</v>
      </c>
      <c r="M22" s="272">
        <f t="shared" si="1"/>
        <v>-772.10999999999967</v>
      </c>
      <c r="N22" s="272">
        <f t="shared" si="1"/>
        <v>10.049999999999272</v>
      </c>
      <c r="O22" s="272">
        <f t="shared" si="1"/>
        <v>-570.18000000000484</v>
      </c>
      <c r="P22" s="272">
        <f t="shared" si="1"/>
        <v>1475.7199999999993</v>
      </c>
      <c r="Q22" s="283">
        <f>$Q$75*SOPL!P13</f>
        <v>-635.6909630032128</v>
      </c>
      <c r="R22" s="283">
        <f>$Q$75*SOPL!Q13</f>
        <v>-693.8019047441029</v>
      </c>
      <c r="S22" s="283">
        <f>$Q$75*SOPL!R13</f>
        <v>-757.25092089908833</v>
      </c>
      <c r="T22" s="284">
        <f>$Q$75*SOPL!S13</f>
        <v>-826.52661230829347</v>
      </c>
      <c r="U22" s="149"/>
    </row>
    <row r="23" spans="1:21" s="1" customFormat="1" x14ac:dyDescent="0.3">
      <c r="B23" s="9" t="s">
        <v>197</v>
      </c>
      <c r="C23" s="18"/>
      <c r="D23" s="18"/>
      <c r="E23" s="18"/>
      <c r="F23" s="18"/>
      <c r="G23" s="18"/>
      <c r="H23" s="18"/>
      <c r="I23" s="19"/>
      <c r="J23" s="62">
        <v>4048.9</v>
      </c>
      <c r="K23" s="62">
        <v>4763.07</v>
      </c>
      <c r="L23" s="62">
        <v>2162.1799999999998</v>
      </c>
      <c r="M23" s="62">
        <v>5687.71</v>
      </c>
      <c r="N23" s="62">
        <v>7938.65</v>
      </c>
      <c r="O23" s="62">
        <v>5819.48</v>
      </c>
      <c r="P23" s="62">
        <v>8662</v>
      </c>
      <c r="Q23" s="63">
        <f>SUM(Q21:Q22)</f>
        <v>7002.9907644519135</v>
      </c>
      <c r="R23" s="63">
        <f>SUM(R21:R22)</f>
        <v>7408.1072137292449</v>
      </c>
      <c r="S23" s="63">
        <f>SUM(S21:S22)</f>
        <v>7737.5499675669198</v>
      </c>
      <c r="T23" s="64">
        <f>SUM(T21:T22)</f>
        <v>7914.6491946858669</v>
      </c>
      <c r="U23" s="287"/>
    </row>
    <row r="24" spans="1:21" x14ac:dyDescent="0.3">
      <c r="B24" s="7" t="s">
        <v>198</v>
      </c>
      <c r="I24" s="11"/>
      <c r="J24" s="58">
        <v>-1010.75</v>
      </c>
      <c r="K24" s="58">
        <v>-1079.72</v>
      </c>
      <c r="L24" s="58">
        <v>-1175.69</v>
      </c>
      <c r="M24" s="58">
        <v>-1494.28</v>
      </c>
      <c r="N24" s="58">
        <v>-1835.05</v>
      </c>
      <c r="O24" s="58">
        <v>-1395.52</v>
      </c>
      <c r="P24" s="58">
        <v>-1573.82</v>
      </c>
      <c r="Q24" s="59">
        <f>-R76*SOPL!P29</f>
        <v>-1746.9088000901165</v>
      </c>
      <c r="R24" s="59">
        <f>-S76*SOPL!Q29</f>
        <v>-1903.9132924782984</v>
      </c>
      <c r="S24" s="59">
        <f>-T76*SOPL!R29</f>
        <v>-2072.2085870359433</v>
      </c>
      <c r="T24" s="60">
        <f>-U76*SOPL!S29</f>
        <v>-2252.7368989534971</v>
      </c>
      <c r="U24" s="149"/>
    </row>
    <row r="25" spans="1:21" s="1" customFormat="1" x14ac:dyDescent="0.3">
      <c r="B25" s="9" t="s">
        <v>199</v>
      </c>
      <c r="C25" s="18"/>
      <c r="D25" s="18"/>
      <c r="E25" s="18"/>
      <c r="F25" s="18"/>
      <c r="G25" s="18"/>
      <c r="H25" s="18"/>
      <c r="I25" s="19"/>
      <c r="J25" s="62">
        <v>3038.15</v>
      </c>
      <c r="K25" s="62">
        <v>3683.35</v>
      </c>
      <c r="L25" s="62">
        <v>986.49</v>
      </c>
      <c r="M25" s="62">
        <v>4193.43</v>
      </c>
      <c r="N25" s="62">
        <v>6103.6</v>
      </c>
      <c r="O25" s="62">
        <f t="shared" ref="O25:T25" si="2">SUM(O23:O24)</f>
        <v>4423.9599999999991</v>
      </c>
      <c r="P25" s="62">
        <f t="shared" si="2"/>
        <v>7088.18</v>
      </c>
      <c r="Q25" s="63">
        <f t="shared" si="2"/>
        <v>5256.081964361797</v>
      </c>
      <c r="R25" s="63">
        <f t="shared" si="2"/>
        <v>5504.193921250946</v>
      </c>
      <c r="S25" s="63">
        <f t="shared" si="2"/>
        <v>5665.3413805309765</v>
      </c>
      <c r="T25" s="64">
        <f t="shared" si="2"/>
        <v>5661.9122957323698</v>
      </c>
      <c r="U25" s="287"/>
    </row>
    <row r="26" spans="1:21" x14ac:dyDescent="0.3">
      <c r="B26" s="7"/>
      <c r="I26" s="11"/>
      <c r="J26" s="58"/>
      <c r="K26" s="58"/>
      <c r="L26" s="58"/>
      <c r="M26" s="58"/>
      <c r="N26" s="58"/>
      <c r="O26" s="58"/>
      <c r="P26" s="58"/>
      <c r="Q26" s="59"/>
      <c r="R26" s="59"/>
      <c r="S26" s="59"/>
      <c r="T26" s="60"/>
      <c r="U26" s="149"/>
    </row>
    <row r="27" spans="1:21" ht="18" x14ac:dyDescent="0.35">
      <c r="B27" s="50" t="s">
        <v>200</v>
      </c>
      <c r="I27" s="11"/>
      <c r="J27" s="58"/>
      <c r="K27" s="58"/>
      <c r="L27" s="58"/>
      <c r="M27" s="58"/>
      <c r="N27" s="58"/>
      <c r="O27" s="58"/>
      <c r="P27" s="58"/>
      <c r="Q27" s="59"/>
      <c r="R27" s="59"/>
      <c r="S27" s="59"/>
      <c r="T27" s="60"/>
      <c r="U27" s="149"/>
    </row>
    <row r="28" spans="1:21" x14ac:dyDescent="0.3">
      <c r="B28" s="7" t="s">
        <v>204</v>
      </c>
      <c r="I28" s="11"/>
      <c r="J28" s="58">
        <f>-403.54+36.6</f>
        <v>-366.94</v>
      </c>
      <c r="K28" s="58">
        <f>-281.87+27.61</f>
        <v>-254.26</v>
      </c>
      <c r="L28" s="58">
        <f>-538.24+39.58</f>
        <v>-498.66</v>
      </c>
      <c r="M28" s="58">
        <f>-1273.37+25.92</f>
        <v>-1247.4499999999998</v>
      </c>
      <c r="N28" s="58">
        <f>-2199.01+5.13</f>
        <v>-2193.88</v>
      </c>
      <c r="O28" s="58">
        <f>-1805.32+10.1</f>
        <v>-1795.22</v>
      </c>
      <c r="P28" s="58">
        <f>-1467.02+3.2</f>
        <v>-1463.82</v>
      </c>
      <c r="Q28" s="59">
        <f>-Schedule!Z11-Schedule!Z26</f>
        <v>-1109.7582754064993</v>
      </c>
      <c r="R28" s="59">
        <f>-Schedule!AC11-Schedule!AC26</f>
        <v>-1211.2055229557645</v>
      </c>
      <c r="S28" s="59">
        <f>-Schedule!AF11-Schedule!AF26</f>
        <v>-1321.9717204359699</v>
      </c>
      <c r="T28" s="60">
        <f>-Schedule!AI11-Schedule!AI26</f>
        <v>-1442.9098433607783</v>
      </c>
      <c r="U28" s="293"/>
    </row>
    <row r="29" spans="1:21" x14ac:dyDescent="0.3">
      <c r="B29" s="7" t="s">
        <v>201</v>
      </c>
      <c r="I29" s="11"/>
      <c r="J29" s="58">
        <v>-10.15</v>
      </c>
      <c r="K29" s="58">
        <v>-6.84</v>
      </c>
      <c r="L29" s="58">
        <v>-12.46</v>
      </c>
      <c r="M29" s="58">
        <v>-172.24</v>
      </c>
      <c r="N29" s="58">
        <v>-297.07</v>
      </c>
      <c r="O29" s="58">
        <v>-24.75</v>
      </c>
      <c r="P29" s="58">
        <v>-20.3</v>
      </c>
      <c r="Q29" s="59">
        <f>P29*(1+R74)</f>
        <v>-22.785979580680273</v>
      </c>
      <c r="R29" s="59">
        <f>Q29*(1+S74)</f>
        <v>-25.576397312865929</v>
      </c>
      <c r="S29" s="59">
        <f>R29*(1+T74)</f>
        <v>-28.708535316173833</v>
      </c>
      <c r="T29" s="60">
        <f>S29*(1+U74)</f>
        <v>-32.224241354954458</v>
      </c>
      <c r="U29" s="149"/>
    </row>
    <row r="30" spans="1:21" x14ac:dyDescent="0.3">
      <c r="B30" s="7" t="s">
        <v>203</v>
      </c>
      <c r="I30" s="11"/>
      <c r="J30" s="58">
        <f>J34-SUM(J28:J29,J32)</f>
        <v>-236.77999999999997</v>
      </c>
      <c r="K30" s="58">
        <f>-0.5+272.32-139.34-500.33</f>
        <v>-367.85</v>
      </c>
      <c r="L30" s="58">
        <f>146.46+61.03-110.21</f>
        <v>97.280000000000015</v>
      </c>
      <c r="M30" s="58">
        <f>-146.07+376.61+69.43-118.71</f>
        <v>181.26000000000005</v>
      </c>
      <c r="N30" s="58">
        <f>-212.24+0.5+239.99-206.25-75-37.71</f>
        <v>-290.70999999999998</v>
      </c>
      <c r="O30" s="58">
        <f>-0.92+420.65+196.8+38.29</f>
        <v>654.81999999999994</v>
      </c>
      <c r="P30" s="58">
        <f>-0.1+923.36+274.03-1316.03</f>
        <v>-118.74000000000001</v>
      </c>
      <c r="Q30" s="265">
        <f>MEDIAN(J30:P30)</f>
        <v>-118.74000000000001</v>
      </c>
      <c r="R30" s="265">
        <f>Q30</f>
        <v>-118.74000000000001</v>
      </c>
      <c r="S30" s="265">
        <f>R30</f>
        <v>-118.74000000000001</v>
      </c>
      <c r="T30" s="267">
        <f>S30</f>
        <v>-118.74000000000001</v>
      </c>
      <c r="U30" s="149"/>
    </row>
    <row r="31" spans="1:21" x14ac:dyDescent="0.3">
      <c r="B31" s="7" t="s">
        <v>205</v>
      </c>
      <c r="I31" s="11"/>
      <c r="J31" s="58">
        <v>0</v>
      </c>
      <c r="K31" s="58">
        <v>0</v>
      </c>
      <c r="L31" s="58">
        <v>0</v>
      </c>
      <c r="M31" s="58">
        <v>0</v>
      </c>
      <c r="N31" s="58">
        <v>0</v>
      </c>
      <c r="O31" s="58">
        <v>0</v>
      </c>
      <c r="P31" s="58">
        <v>-2.0299999999999998</v>
      </c>
      <c r="Q31" s="59">
        <v>0</v>
      </c>
      <c r="R31" s="59">
        <v>0</v>
      </c>
      <c r="S31" s="59">
        <v>0</v>
      </c>
      <c r="T31" s="60">
        <v>0</v>
      </c>
      <c r="U31" s="149"/>
    </row>
    <row r="32" spans="1:21" x14ac:dyDescent="0.3">
      <c r="B32" s="7" t="s">
        <v>202</v>
      </c>
      <c r="I32" s="11"/>
      <c r="J32" s="58">
        <f>65.32+27.13</f>
        <v>92.449999999999989</v>
      </c>
      <c r="K32" s="58">
        <f>73.35+7.81</f>
        <v>81.16</v>
      </c>
      <c r="L32" s="58">
        <f>76.99+15.16</f>
        <v>92.149999999999991</v>
      </c>
      <c r="M32" s="58">
        <f>87.15+42.78+13.48</f>
        <v>143.41</v>
      </c>
      <c r="N32" s="58">
        <f>135.49+108.37+20.17</f>
        <v>264.03000000000003</v>
      </c>
      <c r="O32" s="58">
        <f>154.89+115.5+20.64</f>
        <v>291.02999999999997</v>
      </c>
      <c r="P32" s="58">
        <f>153.19+115.5+2.13</f>
        <v>270.82</v>
      </c>
      <c r="Q32" s="59">
        <f>R77*SOPL!P19</f>
        <v>310.30448249592234</v>
      </c>
      <c r="R32" s="59">
        <f>S77*SOPL!Q19</f>
        <v>358.51316522386605</v>
      </c>
      <c r="S32" s="59">
        <f>T77*SOPL!R19</f>
        <v>414.21151446152277</v>
      </c>
      <c r="T32" s="60">
        <f>U77*SOPL!S19</f>
        <v>478.56311944743851</v>
      </c>
      <c r="U32" s="149"/>
    </row>
    <row r="33" spans="1:31" x14ac:dyDescent="0.3">
      <c r="B33" s="7" t="s">
        <v>194</v>
      </c>
      <c r="I33" s="11"/>
      <c r="J33" s="58">
        <v>0</v>
      </c>
      <c r="K33" s="58">
        <v>0</v>
      </c>
      <c r="L33" s="58">
        <v>0</v>
      </c>
      <c r="M33" s="58">
        <f>M34-SUM(M28:M32)</f>
        <v>-179.62000000000035</v>
      </c>
      <c r="N33" s="58">
        <v>0</v>
      </c>
      <c r="O33" s="58">
        <v>0</v>
      </c>
      <c r="P33" s="58">
        <v>0</v>
      </c>
      <c r="Q33" s="59">
        <v>0</v>
      </c>
      <c r="R33" s="59">
        <v>0</v>
      </c>
      <c r="S33" s="59">
        <v>0</v>
      </c>
      <c r="T33" s="60">
        <v>0</v>
      </c>
      <c r="U33" s="149"/>
    </row>
    <row r="34" spans="1:31" s="1" customFormat="1" x14ac:dyDescent="0.3">
      <c r="B34" s="9" t="s">
        <v>206</v>
      </c>
      <c r="C34" s="18"/>
      <c r="D34" s="18"/>
      <c r="E34" s="18"/>
      <c r="F34" s="18"/>
      <c r="G34" s="18"/>
      <c r="H34" s="18"/>
      <c r="I34" s="19"/>
      <c r="J34" s="62">
        <v>-521.41999999999996</v>
      </c>
      <c r="K34" s="62">
        <f t="shared" ref="K34:T34" si="3">SUM(K28:K33)</f>
        <v>-547.79000000000008</v>
      </c>
      <c r="L34" s="62">
        <f t="shared" si="3"/>
        <v>-321.69</v>
      </c>
      <c r="M34" s="62">
        <v>-1274.6400000000001</v>
      </c>
      <c r="N34" s="62">
        <f t="shared" si="3"/>
        <v>-2517.63</v>
      </c>
      <c r="O34" s="62">
        <f>SUM(O28:O33)</f>
        <v>-874.12000000000012</v>
      </c>
      <c r="P34" s="62">
        <f>SUM(P28:P33)</f>
        <v>-1334.07</v>
      </c>
      <c r="Q34" s="63">
        <f t="shared" si="3"/>
        <v>-940.97977249125722</v>
      </c>
      <c r="R34" s="63">
        <f t="shared" si="3"/>
        <v>-997.00875504476448</v>
      </c>
      <c r="S34" s="63">
        <f t="shared" si="3"/>
        <v>-1055.208741290621</v>
      </c>
      <c r="T34" s="64">
        <f t="shared" si="3"/>
        <v>-1115.3109652682942</v>
      </c>
      <c r="U34" s="287"/>
    </row>
    <row r="35" spans="1:31" x14ac:dyDescent="0.3">
      <c r="B35" s="7"/>
      <c r="I35" s="11"/>
      <c r="J35" s="58"/>
      <c r="K35" s="58"/>
      <c r="L35" s="58"/>
      <c r="M35" s="58"/>
      <c r="N35" s="58"/>
      <c r="O35" s="58"/>
      <c r="P35" s="58"/>
      <c r="Q35" s="59"/>
      <c r="R35" s="58"/>
      <c r="S35" s="59"/>
      <c r="T35" s="60"/>
      <c r="U35" s="149"/>
      <c r="AA35" s="32"/>
    </row>
    <row r="36" spans="1:31" ht="18" x14ac:dyDescent="0.35">
      <c r="B36" s="50" t="s">
        <v>207</v>
      </c>
      <c r="I36" s="11"/>
      <c r="J36" s="58"/>
      <c r="K36" s="58"/>
      <c r="L36" s="58"/>
      <c r="M36" s="58"/>
      <c r="N36" s="58"/>
      <c r="O36" s="58"/>
      <c r="P36" s="58"/>
      <c r="Q36" s="59"/>
      <c r="R36" s="58"/>
      <c r="S36" s="59"/>
      <c r="T36" s="60"/>
      <c r="U36" s="149"/>
      <c r="AA36" s="32"/>
    </row>
    <row r="37" spans="1:31" x14ac:dyDescent="0.3">
      <c r="B37" s="7" t="s">
        <v>208</v>
      </c>
      <c r="I37" s="11"/>
      <c r="J37" s="58">
        <f>17.91-10.49</f>
        <v>7.42</v>
      </c>
      <c r="K37" s="58">
        <f>2.14-14.21</f>
        <v>-12.07</v>
      </c>
      <c r="L37" s="58">
        <f>39.87-7.89</f>
        <v>31.979999999999997</v>
      </c>
      <c r="M37" s="58">
        <f>94-15.55</f>
        <v>78.45</v>
      </c>
      <c r="N37" s="58">
        <f>5.91-14.17</f>
        <v>-8.26</v>
      </c>
      <c r="O37" s="58">
        <f>219.84-21.16</f>
        <v>198.68</v>
      </c>
      <c r="P37" s="58">
        <f>993.41-32.43</f>
        <v>960.98</v>
      </c>
      <c r="Q37" s="59">
        <f>AVERAGE(J37:P37)</f>
        <v>179.59714285714287</v>
      </c>
      <c r="R37" s="59">
        <f>AVERAGE(K37:Q37)</f>
        <v>204.19387755102042</v>
      </c>
      <c r="S37" s="59">
        <f>AVERAGE(L37:R37)</f>
        <v>235.08871720116619</v>
      </c>
      <c r="T37" s="60">
        <f>AVERAGE(M37:S37)</f>
        <v>264.10424822990421</v>
      </c>
      <c r="U37" s="293"/>
      <c r="AA37" s="1"/>
      <c r="AB37" s="1"/>
      <c r="AC37" s="1"/>
      <c r="AE37" s="1"/>
    </row>
    <row r="38" spans="1:31" x14ac:dyDescent="0.3">
      <c r="B38" s="7" t="s">
        <v>209</v>
      </c>
      <c r="I38" s="11"/>
      <c r="J38" s="58">
        <v>-268.79000000000002</v>
      </c>
      <c r="K38" s="58">
        <v>37.78</v>
      </c>
      <c r="L38" s="58">
        <v>292.68</v>
      </c>
      <c r="M38" s="58">
        <v>159.76</v>
      </c>
      <c r="N38" s="58">
        <v>94.98</v>
      </c>
      <c r="O38" s="58">
        <v>-406.41</v>
      </c>
      <c r="P38" s="58">
        <v>285.44</v>
      </c>
      <c r="Q38" s="59">
        <f>MEDIAN(J38:P38)</f>
        <v>94.98</v>
      </c>
      <c r="R38" s="59">
        <f>MEDIAN(K38:Q38)</f>
        <v>94.98</v>
      </c>
      <c r="S38" s="59">
        <f>MEDIAN(L38:R38)</f>
        <v>94.98</v>
      </c>
      <c r="T38" s="60">
        <f>MEDIAN(M38:S38)</f>
        <v>94.98</v>
      </c>
      <c r="U38" s="149"/>
      <c r="AA38" s="32"/>
      <c r="AE38" s="191"/>
    </row>
    <row r="39" spans="1:31" x14ac:dyDescent="0.3">
      <c r="B39" s="7" t="s">
        <v>210</v>
      </c>
      <c r="I39" s="11"/>
      <c r="J39" s="58">
        <v>-100.89</v>
      </c>
      <c r="K39" s="58">
        <v>-89.31</v>
      </c>
      <c r="L39" s="58">
        <v>-93.56</v>
      </c>
      <c r="M39" s="58">
        <v>-141.94999999999999</v>
      </c>
      <c r="N39" s="58">
        <v>-190.57</v>
      </c>
      <c r="O39" s="58">
        <v>-203.19</v>
      </c>
      <c r="P39" s="58">
        <v>-228.33</v>
      </c>
      <c r="Q39" s="59">
        <f>-SUM(Schedule!M58:M61)</f>
        <v>-202.25057278075985</v>
      </c>
      <c r="R39" s="59">
        <f>-SUM(Schedule!N58:N61)</f>
        <v>-217.19182535123244</v>
      </c>
      <c r="S39" s="59">
        <f>-SUM(Schedule!O58:O61)</f>
        <v>-233.23686232787654</v>
      </c>
      <c r="T39" s="60">
        <f>-SUM(Schedule!P58:P61)</f>
        <v>-250.46722573734357</v>
      </c>
      <c r="U39" s="149"/>
      <c r="AA39" s="32"/>
      <c r="AE39" s="191"/>
    </row>
    <row r="40" spans="1:31" x14ac:dyDescent="0.3">
      <c r="B40" s="7" t="s">
        <v>211</v>
      </c>
      <c r="I40" s="11"/>
      <c r="J40" s="58">
        <v>-2120.71</v>
      </c>
      <c r="K40" s="58">
        <v>-499.35</v>
      </c>
      <c r="L40" s="58">
        <v>-1762.8</v>
      </c>
      <c r="M40" s="58">
        <v>-1936.05</v>
      </c>
      <c r="N40" s="58">
        <v>-2550.88</v>
      </c>
      <c r="O40" s="58">
        <v>-3140.21</v>
      </c>
      <c r="P40" s="58">
        <v>-2425.38</v>
      </c>
      <c r="Q40" s="59">
        <f>MEDIAN(J40:P40)</f>
        <v>-2120.71</v>
      </c>
      <c r="R40" s="59">
        <f>MEDIAN(K40:Q40)</f>
        <v>-2120.71</v>
      </c>
      <c r="S40" s="59">
        <f>MEDIAN(L40:R40)</f>
        <v>-2120.71</v>
      </c>
      <c r="T40" s="60">
        <f>MEDIAN(M40:S40)</f>
        <v>-2120.71</v>
      </c>
      <c r="U40" s="149"/>
      <c r="AA40" s="32"/>
      <c r="AE40" s="191"/>
    </row>
    <row r="41" spans="1:31" x14ac:dyDescent="0.3">
      <c r="B41" s="7" t="s">
        <v>194</v>
      </c>
      <c r="I41" s="11"/>
      <c r="J41" s="58">
        <f t="shared" ref="J41:P41" si="4">J42-SUM(J37:J40)</f>
        <v>-388.48999999999978</v>
      </c>
      <c r="K41" s="58">
        <f t="shared" si="4"/>
        <v>-87.449999999999932</v>
      </c>
      <c r="L41" s="58">
        <f t="shared" si="4"/>
        <v>-275.91000000000008</v>
      </c>
      <c r="M41" s="58">
        <f t="shared" si="4"/>
        <v>-300.26000000000022</v>
      </c>
      <c r="N41" s="58">
        <f t="shared" si="4"/>
        <v>-327.77</v>
      </c>
      <c r="O41" s="58">
        <f t="shared" si="4"/>
        <v>-201.44999999999982</v>
      </c>
      <c r="P41" s="58">
        <f t="shared" si="4"/>
        <v>-969.22000000000025</v>
      </c>
      <c r="Q41" s="59">
        <f>P41*(1+((P41/J41)^(1/6)-1))</f>
        <v>-1128.7457318842246</v>
      </c>
      <c r="R41" s="59">
        <f>Q41*(1+((Q41/K41)^(1/6)-1))</f>
        <v>-1728.7631860318079</v>
      </c>
      <c r="S41" s="59">
        <f>R41*(1+((R41/L41)^(1/6)-1))</f>
        <v>-2347.2725308518407</v>
      </c>
      <c r="T41" s="60">
        <f>S41*(1+((S41/M41)^(1/6)-1))</f>
        <v>-3306.7994429129517</v>
      </c>
      <c r="U41" s="149"/>
      <c r="AA41" s="32"/>
      <c r="AE41" s="191"/>
    </row>
    <row r="42" spans="1:31" s="1" customFormat="1" x14ac:dyDescent="0.3">
      <c r="B42" s="9" t="s">
        <v>212</v>
      </c>
      <c r="C42" s="18"/>
      <c r="D42" s="18"/>
      <c r="E42" s="18"/>
      <c r="F42" s="18"/>
      <c r="G42" s="18"/>
      <c r="H42" s="18"/>
      <c r="I42" s="19"/>
      <c r="J42" s="62">
        <v>-2871.46</v>
      </c>
      <c r="K42" s="62">
        <v>-650.4</v>
      </c>
      <c r="L42" s="62">
        <v>-1807.61</v>
      </c>
      <c r="M42" s="62">
        <v>-2140.0500000000002</v>
      </c>
      <c r="N42" s="62">
        <v>-2982.5</v>
      </c>
      <c r="O42" s="62">
        <v>-3752.58</v>
      </c>
      <c r="P42" s="62">
        <f>-2376.51</f>
        <v>-2376.5100000000002</v>
      </c>
      <c r="Q42" s="63">
        <f>SUM(Q37:Q41)</f>
        <v>-3177.1291618078412</v>
      </c>
      <c r="R42" s="63">
        <f>SUM(R37:R41)</f>
        <v>-3767.4911338320198</v>
      </c>
      <c r="S42" s="63">
        <f>SUM(S37:S41)</f>
        <v>-4371.1506759785516</v>
      </c>
      <c r="T42" s="64">
        <f>SUM(T37:T41)</f>
        <v>-5318.8924204203913</v>
      </c>
      <c r="U42" s="287"/>
      <c r="AA42" s="25"/>
      <c r="AE42" s="89"/>
    </row>
    <row r="43" spans="1:31" s="1" customFormat="1" x14ac:dyDescent="0.3">
      <c r="B43" s="9" t="s">
        <v>213</v>
      </c>
      <c r="C43" s="18"/>
      <c r="D43" s="18"/>
      <c r="E43" s="18"/>
      <c r="F43" s="18"/>
      <c r="G43" s="18"/>
      <c r="H43" s="18"/>
      <c r="I43" s="19"/>
      <c r="J43" s="62">
        <f t="shared" ref="J43:S43" si="5">J25+J34+J42</f>
        <v>-354.73</v>
      </c>
      <c r="K43" s="62">
        <f t="shared" si="5"/>
        <v>2485.16</v>
      </c>
      <c r="L43" s="62">
        <f>L25+L34+L42</f>
        <v>-1142.81</v>
      </c>
      <c r="M43" s="62">
        <f t="shared" si="5"/>
        <v>778.73999999999978</v>
      </c>
      <c r="N43" s="62">
        <f t="shared" si="5"/>
        <v>603.47000000000025</v>
      </c>
      <c r="O43" s="62">
        <f t="shared" si="5"/>
        <v>-202.74000000000069</v>
      </c>
      <c r="P43" s="62">
        <f t="shared" si="5"/>
        <v>3377.6000000000004</v>
      </c>
      <c r="Q43" s="63">
        <f t="shared" si="5"/>
        <v>1137.9730300626989</v>
      </c>
      <c r="R43" s="63">
        <f t="shared" si="5"/>
        <v>739.69403237416191</v>
      </c>
      <c r="S43" s="63">
        <f t="shared" si="5"/>
        <v>238.98196326180368</v>
      </c>
      <c r="T43" s="64">
        <f>T25+T34+T42</f>
        <v>-772.29108995631577</v>
      </c>
      <c r="U43" s="287"/>
      <c r="AE43" s="89"/>
    </row>
    <row r="44" spans="1:31" x14ac:dyDescent="0.3">
      <c r="B44" s="69" t="s">
        <v>214</v>
      </c>
      <c r="C44" s="16"/>
      <c r="D44" s="16"/>
      <c r="E44" s="16"/>
      <c r="F44" s="16"/>
      <c r="G44" s="16"/>
      <c r="H44" s="16"/>
      <c r="I44" s="34"/>
      <c r="J44" s="273">
        <v>1279.97</v>
      </c>
      <c r="K44" s="273">
        <v>928.75</v>
      </c>
      <c r="L44" s="191">
        <v>3421.16</v>
      </c>
      <c r="M44" s="273">
        <v>2283.29</v>
      </c>
      <c r="N44" s="273">
        <v>3054.33</v>
      </c>
      <c r="O44" s="273">
        <v>3626.95</v>
      </c>
      <c r="P44" s="273">
        <v>3357.42</v>
      </c>
      <c r="Q44" s="285">
        <f>P46</f>
        <v>6740.8600000000006</v>
      </c>
      <c r="R44" s="285">
        <f>Q46</f>
        <v>7878.8330300626994</v>
      </c>
      <c r="S44" s="285">
        <f>R46</f>
        <v>8618.5270624368604</v>
      </c>
      <c r="T44" s="286">
        <f>S46</f>
        <v>8857.5090256986641</v>
      </c>
      <c r="U44" s="149"/>
      <c r="AA44" s="32"/>
      <c r="AE44" s="191"/>
    </row>
    <row r="45" spans="1:31" x14ac:dyDescent="0.3">
      <c r="A45" s="11"/>
      <c r="B45" s="7" t="s">
        <v>215</v>
      </c>
      <c r="I45" s="11"/>
      <c r="J45" s="58">
        <v>3.51</v>
      </c>
      <c r="K45" s="58">
        <v>7.25</v>
      </c>
      <c r="L45" s="191">
        <v>4.9400000000000004</v>
      </c>
      <c r="M45" s="58">
        <v>-7.7</v>
      </c>
      <c r="N45" s="58">
        <v>-30.85</v>
      </c>
      <c r="O45" s="58">
        <v>-66.790000000000006</v>
      </c>
      <c r="P45" s="58">
        <v>5.84</v>
      </c>
      <c r="Q45" s="59">
        <v>0</v>
      </c>
      <c r="R45" s="59">
        <v>0</v>
      </c>
      <c r="S45" s="59">
        <v>0</v>
      </c>
      <c r="T45" s="60">
        <v>0</v>
      </c>
      <c r="U45" s="149"/>
      <c r="AA45" s="32"/>
      <c r="AE45" s="191"/>
    </row>
    <row r="46" spans="1:31" s="1" customFormat="1" x14ac:dyDescent="0.3">
      <c r="A46" s="78"/>
      <c r="B46" s="9" t="s">
        <v>216</v>
      </c>
      <c r="C46" s="18"/>
      <c r="D46" s="18"/>
      <c r="E46" s="18"/>
      <c r="F46" s="18"/>
      <c r="G46" s="18"/>
      <c r="H46" s="18"/>
      <c r="I46" s="19"/>
      <c r="J46" s="62">
        <f>SUM(J43:J45)</f>
        <v>928.75</v>
      </c>
      <c r="K46" s="62">
        <f>SUM(K43:K45)</f>
        <v>3421.16</v>
      </c>
      <c r="L46" s="62">
        <f>SUM(L43:L45)</f>
        <v>2283.29</v>
      </c>
      <c r="M46" s="62">
        <f>SUM(M43:M45)</f>
        <v>3054.33</v>
      </c>
      <c r="N46" s="62">
        <f>SUM(N43:N45)</f>
        <v>3626.9500000000003</v>
      </c>
      <c r="O46" s="62">
        <f t="shared" ref="O46:T46" si="6">SUM(O43:O45)</f>
        <v>3357.4199999999992</v>
      </c>
      <c r="P46" s="62">
        <f t="shared" si="6"/>
        <v>6740.8600000000006</v>
      </c>
      <c r="Q46" s="63">
        <f t="shared" si="6"/>
        <v>7878.8330300626994</v>
      </c>
      <c r="R46" s="63">
        <f t="shared" si="6"/>
        <v>8618.5270624368604</v>
      </c>
      <c r="S46" s="63">
        <f t="shared" si="6"/>
        <v>8857.5090256986641</v>
      </c>
      <c r="T46" s="64">
        <f t="shared" si="6"/>
        <v>8085.2179357423483</v>
      </c>
      <c r="U46" s="288"/>
      <c r="AA46" s="25"/>
      <c r="AE46" s="89"/>
    </row>
    <row r="47" spans="1:31" x14ac:dyDescent="0.3">
      <c r="N47" s="100"/>
    </row>
    <row r="48" spans="1:31" ht="15" thickBot="1" x14ac:dyDescent="0.35">
      <c r="Q48" s="241"/>
    </row>
    <row r="49" spans="2:20" ht="22.2" thickTop="1" thickBot="1" x14ac:dyDescent="0.45">
      <c r="B49" s="523" t="s">
        <v>232</v>
      </c>
      <c r="C49" s="523"/>
      <c r="D49" s="523"/>
      <c r="E49" s="523"/>
      <c r="F49" s="523"/>
      <c r="G49" s="523"/>
      <c r="H49" s="523"/>
      <c r="I49" s="523"/>
      <c r="J49" s="523"/>
      <c r="K49" s="523"/>
      <c r="L49" s="523"/>
      <c r="M49" s="523"/>
      <c r="N49" s="523"/>
      <c r="O49" s="523"/>
      <c r="P49" s="523"/>
      <c r="Q49" s="523"/>
      <c r="R49" s="523"/>
      <c r="S49" s="523"/>
      <c r="T49" s="523"/>
    </row>
    <row r="50" spans="2:20" ht="15" thickTop="1" x14ac:dyDescent="0.3">
      <c r="B50" s="1" t="s">
        <v>325</v>
      </c>
      <c r="T50" s="6"/>
    </row>
    <row r="51" spans="2:20" ht="15" thickBot="1" x14ac:dyDescent="0.35">
      <c r="B51" s="13"/>
      <c r="C51" s="12"/>
      <c r="D51" s="12"/>
      <c r="E51" s="12"/>
      <c r="F51" s="12"/>
      <c r="G51" s="12"/>
      <c r="H51" s="12"/>
      <c r="I51" s="12"/>
      <c r="J51" s="565" t="s">
        <v>299</v>
      </c>
      <c r="K51" s="566"/>
      <c r="L51" s="566"/>
      <c r="M51" s="566"/>
      <c r="N51" s="566"/>
      <c r="O51" s="566"/>
      <c r="P51" s="566"/>
      <c r="Q51" s="517" t="s">
        <v>21</v>
      </c>
      <c r="R51" s="517"/>
      <c r="S51" s="517"/>
      <c r="T51" s="518"/>
    </row>
    <row r="52" spans="2:20" ht="15" thickTop="1" x14ac:dyDescent="0.3">
      <c r="B52" s="14" t="s">
        <v>18</v>
      </c>
      <c r="C52" s="15"/>
      <c r="D52" s="15"/>
      <c r="E52" s="15"/>
      <c r="F52" s="15"/>
      <c r="G52" s="15"/>
      <c r="H52" s="15"/>
      <c r="I52" s="21"/>
      <c r="J52" s="29">
        <f>K52-1</f>
        <v>20</v>
      </c>
      <c r="K52" s="29">
        <v>21</v>
      </c>
      <c r="L52" s="29">
        <f t="shared" ref="L52:T52" si="7">K52+1</f>
        <v>22</v>
      </c>
      <c r="M52" s="29">
        <f t="shared" si="7"/>
        <v>23</v>
      </c>
      <c r="N52" s="29">
        <f t="shared" si="7"/>
        <v>24</v>
      </c>
      <c r="O52" s="29">
        <f t="shared" si="7"/>
        <v>25</v>
      </c>
      <c r="P52" s="29">
        <f t="shared" si="7"/>
        <v>26</v>
      </c>
      <c r="Q52" s="30">
        <f t="shared" si="7"/>
        <v>27</v>
      </c>
      <c r="R52" s="30">
        <f t="shared" si="7"/>
        <v>28</v>
      </c>
      <c r="S52" s="30">
        <f t="shared" si="7"/>
        <v>29</v>
      </c>
      <c r="T52" s="31">
        <f t="shared" si="7"/>
        <v>30</v>
      </c>
    </row>
    <row r="53" spans="2:20" ht="7.8" customHeight="1" x14ac:dyDescent="0.3">
      <c r="B53" s="69"/>
      <c r="C53" s="16"/>
      <c r="D53" s="16"/>
      <c r="E53" s="16"/>
      <c r="F53" s="16"/>
      <c r="G53" s="16"/>
      <c r="H53" s="16"/>
      <c r="I53" s="34"/>
      <c r="J53" s="71"/>
      <c r="K53" s="71"/>
      <c r="L53" s="71"/>
      <c r="M53" s="71"/>
      <c r="N53" s="71"/>
      <c r="O53" s="71"/>
      <c r="P53" s="71"/>
      <c r="Q53" s="71"/>
      <c r="R53" s="71"/>
      <c r="S53" s="71"/>
      <c r="T53" s="72"/>
    </row>
    <row r="54" spans="2:20" x14ac:dyDescent="0.3">
      <c r="B54" s="7" t="s">
        <v>226</v>
      </c>
      <c r="I54" s="11"/>
      <c r="J54" s="191">
        <f>'SOFP '!I28</f>
        <v>563.83000000000004</v>
      </c>
      <c r="K54" s="191">
        <f>'SOFP '!J28</f>
        <v>346.39</v>
      </c>
      <c r="L54" s="191">
        <f>'SOFP '!K28</f>
        <v>621.72</v>
      </c>
      <c r="M54" s="191">
        <f>'SOFP '!L28</f>
        <v>523.1</v>
      </c>
      <c r="N54" s="191">
        <f>'SOFP '!M28</f>
        <v>829.34</v>
      </c>
      <c r="O54" s="191">
        <f>'SOFP '!N28</f>
        <v>445.28</v>
      </c>
      <c r="P54" s="191">
        <f>'SOFP '!O28</f>
        <v>672.83</v>
      </c>
      <c r="Q54" s="265">
        <f>Q64</f>
        <v>635.78825450786087</v>
      </c>
      <c r="R54" s="265">
        <f>R64</f>
        <v>780.7467482862678</v>
      </c>
      <c r="S54" s="265">
        <f>S64</f>
        <v>894.29715064078675</v>
      </c>
      <c r="T54" s="267">
        <f>T64</f>
        <v>975.35534349154318</v>
      </c>
    </row>
    <row r="55" spans="2:20" x14ac:dyDescent="0.3">
      <c r="B55" s="7" t="s">
        <v>228</v>
      </c>
      <c r="I55" s="11"/>
      <c r="J55" s="191">
        <f>J56-J54</f>
        <v>364.91999999999996</v>
      </c>
      <c r="K55" s="191">
        <f t="shared" ref="K55:T55" si="8">K56-K54</f>
        <v>3074.77</v>
      </c>
      <c r="L55" s="191">
        <f t="shared" si="8"/>
        <v>1661.57</v>
      </c>
      <c r="M55" s="191">
        <f t="shared" si="8"/>
        <v>2531.23</v>
      </c>
      <c r="N55" s="191">
        <f t="shared" si="8"/>
        <v>2797.61</v>
      </c>
      <c r="O55" s="191">
        <f t="shared" si="8"/>
        <v>2912.1399999999994</v>
      </c>
      <c r="P55" s="191">
        <f t="shared" si="8"/>
        <v>6068.0300000000007</v>
      </c>
      <c r="Q55" s="265">
        <f>Q56-Q54</f>
        <v>7243.0447755548385</v>
      </c>
      <c r="R55" s="265">
        <f t="shared" si="8"/>
        <v>7837.7803141505929</v>
      </c>
      <c r="S55" s="265">
        <f t="shared" si="8"/>
        <v>7963.2118750578775</v>
      </c>
      <c r="T55" s="267">
        <f t="shared" si="8"/>
        <v>7109.8625922508054</v>
      </c>
    </row>
    <row r="56" spans="2:20" s="1" customFormat="1" x14ac:dyDescent="0.3">
      <c r="B56" s="274" t="s">
        <v>227</v>
      </c>
      <c r="C56" s="206"/>
      <c r="D56" s="206"/>
      <c r="E56" s="206"/>
      <c r="F56" s="206"/>
      <c r="G56" s="206"/>
      <c r="H56" s="206"/>
      <c r="I56" s="275"/>
      <c r="J56" s="276">
        <f t="shared" ref="J56:T56" si="9">J46</f>
        <v>928.75</v>
      </c>
      <c r="K56" s="276">
        <f t="shared" si="9"/>
        <v>3421.16</v>
      </c>
      <c r="L56" s="276">
        <f t="shared" si="9"/>
        <v>2283.29</v>
      </c>
      <c r="M56" s="276">
        <f t="shared" si="9"/>
        <v>3054.33</v>
      </c>
      <c r="N56" s="276">
        <f t="shared" si="9"/>
        <v>3626.9500000000003</v>
      </c>
      <c r="O56" s="276">
        <f t="shared" si="9"/>
        <v>3357.4199999999992</v>
      </c>
      <c r="P56" s="276">
        <f t="shared" si="9"/>
        <v>6740.8600000000006</v>
      </c>
      <c r="Q56" s="281">
        <f t="shared" si="9"/>
        <v>7878.8330300626994</v>
      </c>
      <c r="R56" s="281">
        <f t="shared" si="9"/>
        <v>8618.5270624368604</v>
      </c>
      <c r="S56" s="281">
        <f t="shared" si="9"/>
        <v>8857.5090256986641</v>
      </c>
      <c r="T56" s="282">
        <f t="shared" si="9"/>
        <v>8085.2179357423483</v>
      </c>
    </row>
    <row r="58" spans="2:20" ht="15" thickBot="1" x14ac:dyDescent="0.35"/>
    <row r="59" spans="2:20" ht="22.2" thickTop="1" thickBot="1" x14ac:dyDescent="0.45">
      <c r="B59" s="523" t="s">
        <v>231</v>
      </c>
      <c r="C59" s="523"/>
      <c r="D59" s="523"/>
      <c r="E59" s="523"/>
      <c r="F59" s="523"/>
      <c r="G59" s="523"/>
      <c r="H59" s="523"/>
      <c r="I59" s="523"/>
      <c r="J59" s="523"/>
      <c r="K59" s="523"/>
      <c r="L59" s="523"/>
      <c r="M59" s="523"/>
      <c r="N59" s="523"/>
      <c r="O59" s="523"/>
      <c r="P59" s="523"/>
      <c r="Q59" s="523"/>
      <c r="R59" s="523"/>
      <c r="S59" s="523"/>
      <c r="T59" s="523"/>
    </row>
    <row r="60" spans="2:20" ht="15" thickTop="1" x14ac:dyDescent="0.3">
      <c r="B60" s="1" t="s">
        <v>325</v>
      </c>
      <c r="T60" s="6"/>
    </row>
    <row r="61" spans="2:20" ht="15" thickBot="1" x14ac:dyDescent="0.35">
      <c r="B61" s="13"/>
      <c r="C61" s="12"/>
      <c r="D61" s="12"/>
      <c r="E61" s="12"/>
      <c r="F61" s="12"/>
      <c r="G61" s="12"/>
      <c r="H61" s="12"/>
      <c r="I61" s="12"/>
      <c r="J61" s="565" t="s">
        <v>299</v>
      </c>
      <c r="K61" s="566"/>
      <c r="L61" s="566"/>
      <c r="M61" s="566"/>
      <c r="N61" s="566"/>
      <c r="O61" s="566"/>
      <c r="P61" s="566"/>
      <c r="Q61" s="517" t="s">
        <v>21</v>
      </c>
      <c r="R61" s="517"/>
      <c r="S61" s="517"/>
      <c r="T61" s="518"/>
    </row>
    <row r="62" spans="2:20" ht="15" thickTop="1" x14ac:dyDescent="0.3">
      <c r="B62" s="14" t="s">
        <v>18</v>
      </c>
      <c r="C62" s="15"/>
      <c r="D62" s="15"/>
      <c r="E62" s="15"/>
      <c r="F62" s="15"/>
      <c r="G62" s="15"/>
      <c r="H62" s="15"/>
      <c r="I62" s="21"/>
      <c r="J62" s="29">
        <f>K62-1</f>
        <v>20</v>
      </c>
      <c r="K62" s="29">
        <v>21</v>
      </c>
      <c r="L62" s="29">
        <f t="shared" ref="L62:T62" si="10">K62+1</f>
        <v>22</v>
      </c>
      <c r="M62" s="29">
        <f t="shared" si="10"/>
        <v>23</v>
      </c>
      <c r="N62" s="29">
        <f t="shared" si="10"/>
        <v>24</v>
      </c>
      <c r="O62" s="29">
        <f t="shared" si="10"/>
        <v>25</v>
      </c>
      <c r="P62" s="29">
        <f t="shared" si="10"/>
        <v>26</v>
      </c>
      <c r="Q62" s="30">
        <f t="shared" si="10"/>
        <v>27</v>
      </c>
      <c r="R62" s="30">
        <f t="shared" si="10"/>
        <v>28</v>
      </c>
      <c r="S62" s="30">
        <f t="shared" si="10"/>
        <v>29</v>
      </c>
      <c r="T62" s="31">
        <f t="shared" si="10"/>
        <v>30</v>
      </c>
    </row>
    <row r="63" spans="2:20" ht="7.2" customHeight="1" x14ac:dyDescent="0.3">
      <c r="B63" s="69"/>
      <c r="C63" s="16"/>
      <c r="D63" s="16"/>
      <c r="E63" s="16"/>
      <c r="F63" s="16"/>
      <c r="G63" s="16"/>
      <c r="H63" s="16"/>
      <c r="I63" s="34"/>
      <c r="J63" s="71"/>
      <c r="K63" s="71"/>
      <c r="L63" s="71"/>
      <c r="M63" s="71"/>
      <c r="N63" s="71"/>
      <c r="O63" s="71"/>
      <c r="P63" s="71"/>
      <c r="Q63" s="71"/>
      <c r="R63" s="71"/>
      <c r="S63" s="71"/>
      <c r="T63" s="72"/>
    </row>
    <row r="64" spans="2:20" x14ac:dyDescent="0.3">
      <c r="B64" s="7" t="s">
        <v>226</v>
      </c>
      <c r="I64" s="11"/>
      <c r="J64" s="191">
        <f t="shared" ref="J64:P64" si="11">J54</f>
        <v>563.83000000000004</v>
      </c>
      <c r="K64" s="191">
        <f t="shared" si="11"/>
        <v>346.39</v>
      </c>
      <c r="L64" s="191">
        <f t="shared" si="11"/>
        <v>621.72</v>
      </c>
      <c r="M64" s="191">
        <f t="shared" si="11"/>
        <v>523.1</v>
      </c>
      <c r="N64" s="191">
        <f t="shared" si="11"/>
        <v>829.34</v>
      </c>
      <c r="O64" s="191">
        <f t="shared" si="11"/>
        <v>445.28</v>
      </c>
      <c r="P64" s="191">
        <f t="shared" si="11"/>
        <v>672.83</v>
      </c>
      <c r="Q64" s="265">
        <f>Q66*R78</f>
        <v>635.78825450786087</v>
      </c>
      <c r="R64" s="265">
        <f>R66*S78</f>
        <v>780.7467482862678</v>
      </c>
      <c r="S64" s="265">
        <f>S66*T78</f>
        <v>894.29715064078675</v>
      </c>
      <c r="T64" s="267">
        <f>T66*U78</f>
        <v>975.35534349154318</v>
      </c>
    </row>
    <row r="65" spans="2:21" x14ac:dyDescent="0.3">
      <c r="B65" s="7" t="s">
        <v>47</v>
      </c>
      <c r="I65" s="11"/>
      <c r="J65" s="191">
        <f>'SOFP '!I29</f>
        <v>219</v>
      </c>
      <c r="K65" s="191">
        <f>'SOFP '!J29</f>
        <v>264.36</v>
      </c>
      <c r="L65" s="191">
        <f>'SOFP '!K29</f>
        <v>242.61</v>
      </c>
      <c r="M65" s="191">
        <f>'SOFP '!L29</f>
        <v>320.72000000000003</v>
      </c>
      <c r="N65" s="191">
        <f>'SOFP '!M29</f>
        <v>254.67</v>
      </c>
      <c r="O65" s="191">
        <f>'SOFP '!N29</f>
        <v>336.7</v>
      </c>
      <c r="P65" s="191">
        <f>'SOFP '!O29</f>
        <v>400.85</v>
      </c>
      <c r="Q65" s="265">
        <f>Q66-Q64</f>
        <v>378.78174549213918</v>
      </c>
      <c r="R65" s="265">
        <f>R66-R64</f>
        <v>465.1432517137323</v>
      </c>
      <c r="S65" s="265">
        <f>S66-S64</f>
        <v>532.79284935921316</v>
      </c>
      <c r="T65" s="267">
        <f>T66-T64</f>
        <v>581.08465650845687</v>
      </c>
    </row>
    <row r="66" spans="2:21" s="1" customFormat="1" x14ac:dyDescent="0.3">
      <c r="B66" s="291"/>
      <c r="C66" s="206"/>
      <c r="D66" s="206"/>
      <c r="E66" s="206"/>
      <c r="F66" s="206"/>
      <c r="G66" s="206"/>
      <c r="H66" s="206"/>
      <c r="I66" s="292" t="s">
        <v>229</v>
      </c>
      <c r="J66" s="276">
        <f>SUM(J64:J65)</f>
        <v>782.83</v>
      </c>
      <c r="K66" s="276">
        <f t="shared" ref="K66:P66" si="12">SUM(K64:K65)</f>
        <v>610.75</v>
      </c>
      <c r="L66" s="276">
        <f t="shared" si="12"/>
        <v>864.33</v>
      </c>
      <c r="M66" s="276">
        <f t="shared" si="12"/>
        <v>843.82</v>
      </c>
      <c r="N66" s="276">
        <f t="shared" si="12"/>
        <v>1084.01</v>
      </c>
      <c r="O66" s="276">
        <f t="shared" si="12"/>
        <v>781.98</v>
      </c>
      <c r="P66" s="276">
        <f t="shared" si="12"/>
        <v>1073.68</v>
      </c>
      <c r="Q66" s="289">
        <v>1014.57</v>
      </c>
      <c r="R66" s="289">
        <v>1245.8900000000001</v>
      </c>
      <c r="S66" s="289">
        <v>1427.09</v>
      </c>
      <c r="T66" s="290">
        <v>1556.44</v>
      </c>
    </row>
    <row r="67" spans="2:21" x14ac:dyDescent="0.3">
      <c r="B67" s="198"/>
      <c r="J67" s="241"/>
      <c r="Q67" s="412"/>
      <c r="R67" s="40"/>
      <c r="S67" s="40"/>
      <c r="T67" s="40"/>
    </row>
    <row r="68" spans="2:21" ht="15" thickBot="1" x14ac:dyDescent="0.35">
      <c r="Q68" s="40"/>
      <c r="R68" s="40"/>
      <c r="S68" s="40"/>
      <c r="T68" s="40"/>
    </row>
    <row r="69" spans="2:21" ht="22.2" thickTop="1" thickBot="1" x14ac:dyDescent="0.45">
      <c r="B69" s="523" t="s">
        <v>25</v>
      </c>
      <c r="C69" s="523"/>
      <c r="D69" s="523"/>
      <c r="E69" s="523"/>
      <c r="F69" s="523"/>
      <c r="G69" s="523"/>
      <c r="H69" s="523"/>
      <c r="I69" s="523"/>
      <c r="J69" s="523"/>
      <c r="K69" s="523"/>
      <c r="L69" s="523"/>
      <c r="M69" s="523"/>
      <c r="N69" s="523"/>
      <c r="O69" s="523"/>
      <c r="P69" s="523"/>
      <c r="Q69" s="523"/>
      <c r="R69" s="523"/>
      <c r="S69" s="523"/>
      <c r="T69" s="523"/>
      <c r="U69" s="523"/>
    </row>
    <row r="70" spans="2:21" ht="15" thickTop="1" x14ac:dyDescent="0.3">
      <c r="I70" s="44"/>
      <c r="Q70" s="91"/>
      <c r="R70" s="58"/>
      <c r="S70" s="58"/>
    </row>
    <row r="71" spans="2:21" x14ac:dyDescent="0.3">
      <c r="B71" s="38" t="s">
        <v>18</v>
      </c>
      <c r="C71" s="39"/>
      <c r="D71" s="39"/>
      <c r="E71" s="39"/>
      <c r="F71" s="39"/>
      <c r="G71" s="39"/>
      <c r="H71" s="39"/>
      <c r="I71" s="79"/>
      <c r="J71" s="54">
        <f>K71-1</f>
        <v>20</v>
      </c>
      <c r="K71" s="54">
        <v>21</v>
      </c>
      <c r="L71" s="33">
        <f>K71+1</f>
        <v>22</v>
      </c>
      <c r="M71" s="33">
        <f>L71+1</f>
        <v>23</v>
      </c>
      <c r="N71" s="33">
        <f>M71+1</f>
        <v>24</v>
      </c>
      <c r="O71" s="33">
        <f>N71+1</f>
        <v>25</v>
      </c>
      <c r="P71" s="33">
        <f>O71+1</f>
        <v>26</v>
      </c>
      <c r="Q71" s="35" t="s">
        <v>140</v>
      </c>
      <c r="R71" s="36">
        <f>P71+1</f>
        <v>27</v>
      </c>
      <c r="S71" s="36">
        <f>R71+1</f>
        <v>28</v>
      </c>
      <c r="T71" s="36">
        <f>S71+1</f>
        <v>29</v>
      </c>
      <c r="U71" s="37">
        <f>T71+1</f>
        <v>30</v>
      </c>
    </row>
    <row r="72" spans="2:21" ht="6" customHeight="1" x14ac:dyDescent="0.3">
      <c r="B72" s="7"/>
      <c r="I72" s="11"/>
      <c r="L72" s="16"/>
      <c r="M72" s="16"/>
      <c r="N72" s="16"/>
      <c r="O72" s="16"/>
      <c r="P72" s="16"/>
      <c r="Q72" s="149"/>
      <c r="U72" s="11"/>
    </row>
    <row r="73" spans="2:21" x14ac:dyDescent="0.3">
      <c r="B73" s="7" t="s">
        <v>221</v>
      </c>
      <c r="I73" s="11"/>
      <c r="J73" s="91">
        <v>0</v>
      </c>
      <c r="K73" s="45">
        <f t="shared" ref="K73:P73" si="13">K20/J20-1</f>
        <v>1.3461109043543442</v>
      </c>
      <c r="L73" s="45">
        <f t="shared" si="13"/>
        <v>-0.34438451776650136</v>
      </c>
      <c r="M73" s="45">
        <f t="shared" si="13"/>
        <v>-0.11242842164690403</v>
      </c>
      <c r="N73" s="45">
        <f t="shared" si="13"/>
        <v>2.1289413902771099</v>
      </c>
      <c r="O73" s="45">
        <f t="shared" si="13"/>
        <v>-0.85679851309751842</v>
      </c>
      <c r="P73" s="45">
        <f t="shared" si="13"/>
        <v>2.4414925978503343</v>
      </c>
      <c r="Q73" s="463">
        <f>AVERAGE(J73:P73)</f>
        <v>0.65756191999583791</v>
      </c>
      <c r="R73" s="46">
        <f t="shared" ref="R73:U74" si="14">Q73</f>
        <v>0.65756191999583791</v>
      </c>
      <c r="S73" s="47">
        <f t="shared" si="14"/>
        <v>0.65756191999583791</v>
      </c>
      <c r="T73" s="47">
        <f t="shared" si="14"/>
        <v>0.65756191999583791</v>
      </c>
      <c r="U73" s="48">
        <f t="shared" si="14"/>
        <v>0.65756191999583791</v>
      </c>
    </row>
    <row r="74" spans="2:21" x14ac:dyDescent="0.3">
      <c r="B74" s="7" t="s">
        <v>222</v>
      </c>
      <c r="I74" s="11"/>
      <c r="J74" s="91">
        <v>0</v>
      </c>
      <c r="K74" s="45">
        <f t="shared" ref="K74:P74" si="15">K29/J29-1</f>
        <v>-0.32610837438423645</v>
      </c>
      <c r="L74" s="45">
        <f t="shared" si="15"/>
        <v>0.82163742690058506</v>
      </c>
      <c r="M74" s="45">
        <f t="shared" si="15"/>
        <v>12.823434991974318</v>
      </c>
      <c r="N74" s="45">
        <f t="shared" si="15"/>
        <v>0.7247445424988388</v>
      </c>
      <c r="O74" s="45">
        <f t="shared" si="15"/>
        <v>-0.91668630289157438</v>
      </c>
      <c r="P74" s="45">
        <f t="shared" si="15"/>
        <v>-0.17979797979797973</v>
      </c>
      <c r="Q74" s="463">
        <f>(P29/J29)^(1/6)-1</f>
        <v>0.12246204830937302</v>
      </c>
      <c r="R74" s="46">
        <f t="shared" si="14"/>
        <v>0.12246204830937302</v>
      </c>
      <c r="S74" s="47">
        <f t="shared" si="14"/>
        <v>0.12246204830937302</v>
      </c>
      <c r="T74" s="47">
        <f t="shared" si="14"/>
        <v>0.12246204830937302</v>
      </c>
      <c r="U74" s="48">
        <f t="shared" si="14"/>
        <v>0.12246204830937302</v>
      </c>
    </row>
    <row r="75" spans="2:21" x14ac:dyDescent="0.3">
      <c r="B75" s="7" t="s">
        <v>225</v>
      </c>
      <c r="I75" s="11"/>
      <c r="J75" s="91">
        <f>SOCF!J22/SOPL!I13</f>
        <v>-1.6369101366813021E-2</v>
      </c>
      <c r="K75" s="45">
        <f>SOCF!K22/SOPL!J13</f>
        <v>-9.5086812887703528E-3</v>
      </c>
      <c r="L75" s="45">
        <f>SOCF!L22/SOPL!K13</f>
        <v>-9.6051445159800533E-2</v>
      </c>
      <c r="M75" s="45">
        <f>SOCF!M22/SOPL!L13</f>
        <v>-2.2387404066098369E-2</v>
      </c>
      <c r="N75" s="45">
        <f>SOCF!N22/SOPL!M13</f>
        <v>2.8314062397429913E-4</v>
      </c>
      <c r="O75" s="45">
        <f>SOCF!O22/SOPL!N13</f>
        <v>-1.6816681128379449E-2</v>
      </c>
      <c r="P75" s="45">
        <f>SOCF!P22/SOPL!O13</f>
        <v>4.1471983956627115E-2</v>
      </c>
      <c r="Q75" s="462">
        <f>MEDIAN(J75:P75)</f>
        <v>-1.6369101366813021E-2</v>
      </c>
      <c r="R75" s="46">
        <f t="shared" ref="R75:U78" si="16">Q75</f>
        <v>-1.6369101366813021E-2</v>
      </c>
      <c r="S75" s="47">
        <f t="shared" si="16"/>
        <v>-1.6369101366813021E-2</v>
      </c>
      <c r="T75" s="47">
        <f t="shared" si="16"/>
        <v>-1.6369101366813021E-2</v>
      </c>
      <c r="U75" s="48">
        <f t="shared" si="16"/>
        <v>-1.6369101366813021E-2</v>
      </c>
    </row>
    <row r="76" spans="2:21" x14ac:dyDescent="0.3">
      <c r="B76" s="7" t="s">
        <v>223</v>
      </c>
      <c r="I76" s="11"/>
      <c r="J76" s="91">
        <f>-SOPL!I29/SOCF!J24</f>
        <v>0.84575810042047983</v>
      </c>
      <c r="K76" s="91">
        <f>-SOPL!J29/SOCF!K24</f>
        <v>1.0165598488497016</v>
      </c>
      <c r="L76" s="91">
        <f>-SOPL!K29/SOCF!L24</f>
        <v>0.93809592664733055</v>
      </c>
      <c r="M76" s="91">
        <f>-SOPL!L29/SOCF!M24</f>
        <v>0.99947800947613563</v>
      </c>
      <c r="N76" s="91">
        <f>-SOPL!M29/SOCF!N24</f>
        <v>0.97549385575324921</v>
      </c>
      <c r="O76" s="91">
        <f>-SOPL!N29/SOCF!O24</f>
        <v>0.99845218986470985</v>
      </c>
      <c r="P76" s="91">
        <f>-SOPL!O29/SOCF!P24</f>
        <v>1.0221944059676455</v>
      </c>
      <c r="Q76" s="463">
        <f>MEDIAN(J76:P76)</f>
        <v>0.99845218986470985</v>
      </c>
      <c r="R76" s="46">
        <f t="shared" si="16"/>
        <v>0.99845218986470985</v>
      </c>
      <c r="S76" s="47">
        <f t="shared" si="16"/>
        <v>0.99845218986470985</v>
      </c>
      <c r="T76" s="47">
        <f t="shared" si="16"/>
        <v>0.99845218986470985</v>
      </c>
      <c r="U76" s="48">
        <f t="shared" si="16"/>
        <v>0.99845218986470985</v>
      </c>
    </row>
    <row r="77" spans="2:21" x14ac:dyDescent="0.3">
      <c r="B77" s="7" t="s">
        <v>224</v>
      </c>
      <c r="I77" s="11"/>
      <c r="J77" s="91">
        <f>SOCF!J32/SOPL!I19</f>
        <v>0.30380204396832172</v>
      </c>
      <c r="K77" s="45">
        <f>SOCF!K32/SOPL!J19</f>
        <v>0.26781059231149973</v>
      </c>
      <c r="L77" s="45">
        <f>SOCF!L32/SOPL!K19</f>
        <v>0.24249361858898449</v>
      </c>
      <c r="M77" s="45">
        <f>SOCF!M32/SOPL!L19</f>
        <v>0.37106706685986335</v>
      </c>
      <c r="N77" s="45">
        <f>SOCF!N32/SOPL!M19</f>
        <v>0.38378684807256236</v>
      </c>
      <c r="O77" s="45">
        <f>SOCF!O32/SOPL!N19</f>
        <v>0.50825168963168643</v>
      </c>
      <c r="P77" s="45">
        <f>SOCF!P32/SOPL!O19</f>
        <v>0.37416413373860186</v>
      </c>
      <c r="Q77" s="463">
        <f>MEDIAN(J77:P77)</f>
        <v>0.37106706685986335</v>
      </c>
      <c r="R77" s="46">
        <f t="shared" si="16"/>
        <v>0.37106706685986335</v>
      </c>
      <c r="S77" s="47">
        <f t="shared" si="16"/>
        <v>0.37106706685986335</v>
      </c>
      <c r="T77" s="47">
        <f t="shared" si="16"/>
        <v>0.37106706685986335</v>
      </c>
      <c r="U77" s="48">
        <f t="shared" si="16"/>
        <v>0.37106706685986335</v>
      </c>
    </row>
    <row r="78" spans="2:21" x14ac:dyDescent="0.3">
      <c r="B78" s="92" t="s">
        <v>230</v>
      </c>
      <c r="C78" s="74"/>
      <c r="D78" s="74"/>
      <c r="E78" s="74"/>
      <c r="F78" s="74"/>
      <c r="G78" s="74"/>
      <c r="H78" s="74"/>
      <c r="I78" s="75"/>
      <c r="J78" s="277">
        <f t="shared" ref="J78:P78" si="17">J64/J66</f>
        <v>0.72024577494475173</v>
      </c>
      <c r="K78" s="277">
        <f t="shared" si="17"/>
        <v>0.5671551371264838</v>
      </c>
      <c r="L78" s="277">
        <f t="shared" si="17"/>
        <v>0.71930859741071118</v>
      </c>
      <c r="M78" s="277">
        <f t="shared" si="17"/>
        <v>0.61991894005830628</v>
      </c>
      <c r="N78" s="277">
        <f t="shared" si="17"/>
        <v>0.76506674292672583</v>
      </c>
      <c r="O78" s="277">
        <f t="shared" si="17"/>
        <v>0.56942632803908022</v>
      </c>
      <c r="P78" s="277">
        <f t="shared" si="17"/>
        <v>0.62665784963862603</v>
      </c>
      <c r="Q78" s="464">
        <f>MEDIAN(J78:P78)</f>
        <v>0.62665784963862603</v>
      </c>
      <c r="R78" s="278">
        <f t="shared" si="16"/>
        <v>0.62665784963862603</v>
      </c>
      <c r="S78" s="279">
        <f t="shared" si="16"/>
        <v>0.62665784963862603</v>
      </c>
      <c r="T78" s="279">
        <f t="shared" si="16"/>
        <v>0.62665784963862603</v>
      </c>
      <c r="U78" s="280">
        <f t="shared" si="16"/>
        <v>0.62665784963862603</v>
      </c>
    </row>
  </sheetData>
  <mergeCells count="12">
    <mergeCell ref="B59:T59"/>
    <mergeCell ref="J61:P61"/>
    <mergeCell ref="Q61:T61"/>
    <mergeCell ref="D2:G2"/>
    <mergeCell ref="B69:U69"/>
    <mergeCell ref="B49:T49"/>
    <mergeCell ref="J51:P51"/>
    <mergeCell ref="Q51:T51"/>
    <mergeCell ref="B6:T6"/>
    <mergeCell ref="J8:P8"/>
    <mergeCell ref="Q8:T8"/>
    <mergeCell ref="D4:E4"/>
  </mergeCells>
  <pageMargins left="0.7" right="0.7" top="0.75" bottom="0.75" header="0.3" footer="0.3"/>
  <drawing r:id="rId1"/>
  <extLst>
    <ext xmlns:x14="http://schemas.microsoft.com/office/spreadsheetml/2009/9/main" uri="{05C60535-1F16-4fd2-B633-F4F36F0B64E0}">
      <x14:sparklineGroups xmlns:xm="http://schemas.microsoft.com/office/excel/2006/main">
        <x14:sparklineGroup manualMax="0" manualMin="0" displayEmptyCellsAs="gap" markers="1" xr2:uid="{7763ECF0-F03E-492D-BB38-76A4F8DB574F}">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f>SOCF!J43:T43</xm:f>
              <xm:sqref>U43</xm:sqref>
            </x14:sparkline>
          </x14:sparklines>
        </x14:sparklineGroup>
        <x14:sparklineGroup manualMax="0" manualMin="0" displayEmptyCellsAs="gap" markers="1" xr2:uid="{D5533DDD-74CE-4480-ABED-872B6237558C}">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f>SOCF!J42:T42</xm:f>
              <xm:sqref>U42</xm:sqref>
            </x14:sparkline>
          </x14:sparklines>
        </x14:sparklineGroup>
        <x14:sparklineGroup manualMax="0" manualMin="0" displayEmptyCellsAs="gap" markers="1" xr2:uid="{57469FB4-B296-4066-9644-DB6A66CB4897}">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f>SOCF!J34:T34</xm:f>
              <xm:sqref>U34</xm:sqref>
            </x14:sparkline>
          </x14:sparklines>
        </x14:sparklineGroup>
        <x14:sparklineGroup manualMax="0" manualMin="0" displayEmptyCellsAs="gap" markers="1" xr2:uid="{6C2D8898-E623-452F-B186-2D7F0F19F5F3}">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f>SOCF!J21:T21</xm:f>
              <xm:sqref>U21</xm:sqref>
            </x14:sparkline>
            <x14:sparkline>
              <xm:f>SOCF!J23:T23</xm:f>
              <xm:sqref>U23</xm:sqref>
            </x14:sparkline>
            <x14:sparkline>
              <xm:f>SOCF!J25:T25</xm:f>
              <xm:sqref>U25</xm:sqref>
            </x14:sparkline>
          </x14:sparklines>
        </x14:sparklineGroup>
        <x14:sparklineGroup manualMax="0" manualMin="0" displayEmptyCellsAs="gap" markers="1" xr2:uid="{5490F482-7F40-404B-9BDC-6B82ECAD2CEC}">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f>SOCF!J46:T46</xm:f>
              <xm:sqref>U46</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A3199-B388-4AFA-8AB6-665075161900}">
  <sheetPr codeName="Sheet6"/>
  <dimension ref="B2:BA89"/>
  <sheetViews>
    <sheetView showGridLines="0" zoomScale="80" zoomScaleNormal="80" workbookViewId="0"/>
  </sheetViews>
  <sheetFormatPr defaultRowHeight="14.4" x14ac:dyDescent="0.3"/>
  <cols>
    <col min="1" max="1" width="3" customWidth="1"/>
    <col min="2" max="2" width="22.5546875" customWidth="1"/>
    <col min="3" max="23" width="15" customWidth="1"/>
    <col min="24" max="24" width="8.6640625" customWidth="1"/>
    <col min="25" max="36" width="15" customWidth="1"/>
    <col min="42" max="42" width="8.88671875" customWidth="1"/>
    <col min="43" max="43" width="0.88671875" customWidth="1"/>
  </cols>
  <sheetData>
    <row r="2" spans="2:53" x14ac:dyDescent="0.3">
      <c r="C2" s="516" t="s">
        <v>34</v>
      </c>
      <c r="D2" s="516"/>
      <c r="E2" s="516"/>
      <c r="F2" s="516"/>
      <c r="AL2" t="s">
        <v>71</v>
      </c>
    </row>
    <row r="3" spans="2:53" x14ac:dyDescent="0.3">
      <c r="C3" s="17" t="s">
        <v>326</v>
      </c>
      <c r="R3" s="595" t="s">
        <v>168</v>
      </c>
      <c r="S3" s="595"/>
      <c r="T3" s="595"/>
      <c r="U3" s="595"/>
      <c r="V3" s="595"/>
      <c r="W3" s="595"/>
      <c r="AI3" s="472"/>
      <c r="AJ3" s="577" t="s">
        <v>169</v>
      </c>
      <c r="AK3" s="578"/>
    </row>
    <row r="4" spans="2:53" ht="18" customHeight="1" x14ac:dyDescent="0.3">
      <c r="C4" s="474">
        <v>2649.4</v>
      </c>
      <c r="D4" s="239"/>
      <c r="E4" s="42"/>
      <c r="F4" s="42"/>
      <c r="R4" s="595"/>
      <c r="S4" s="595"/>
      <c r="T4" s="595"/>
      <c r="U4" s="595"/>
      <c r="V4" s="595"/>
      <c r="W4" s="595"/>
      <c r="AI4" s="223" t="s">
        <v>184</v>
      </c>
      <c r="AJ4" s="579" t="s">
        <v>175</v>
      </c>
      <c r="AK4" s="580"/>
    </row>
    <row r="5" spans="2:53" ht="19.2" customHeight="1" thickBot="1" x14ac:dyDescent="0.35">
      <c r="C5" s="240" t="s">
        <v>272</v>
      </c>
      <c r="D5" s="239"/>
      <c r="E5" s="42"/>
      <c r="F5" s="42"/>
      <c r="BA5" s="1"/>
    </row>
    <row r="6" spans="2:53" ht="20.399999999999999" customHeight="1" thickTop="1" thickBot="1" x14ac:dyDescent="0.45">
      <c r="B6" s="523" t="s">
        <v>123</v>
      </c>
      <c r="C6" s="523"/>
      <c r="D6" s="523"/>
      <c r="E6" s="523"/>
      <c r="F6" s="523"/>
      <c r="G6" s="523"/>
      <c r="H6" s="523"/>
      <c r="I6" s="523"/>
      <c r="J6" s="523"/>
      <c r="K6" s="523"/>
      <c r="L6" s="523"/>
      <c r="M6" s="523"/>
      <c r="N6" s="523"/>
      <c r="O6" s="523"/>
      <c r="P6" s="523"/>
      <c r="Q6" s="523"/>
      <c r="R6" s="523"/>
      <c r="S6" s="523"/>
      <c r="T6" s="523"/>
      <c r="U6" s="523"/>
      <c r="V6" s="523"/>
      <c r="W6" s="523"/>
      <c r="X6" s="523"/>
      <c r="Y6" s="523"/>
      <c r="Z6" s="523"/>
      <c r="AA6" s="523"/>
      <c r="AB6" s="523"/>
      <c r="AC6" s="523"/>
      <c r="AD6" s="523"/>
      <c r="AE6" s="523"/>
      <c r="AF6" s="523"/>
      <c r="AG6" s="523"/>
      <c r="AH6" s="523"/>
      <c r="AI6" s="523"/>
      <c r="AJ6" s="523"/>
      <c r="AK6" s="53"/>
      <c r="AL6" s="53"/>
      <c r="AM6" s="53"/>
      <c r="AN6" s="53"/>
      <c r="AO6" s="53"/>
      <c r="AP6" s="53"/>
      <c r="AQ6" s="53"/>
      <c r="AR6" s="53"/>
      <c r="AS6" s="53"/>
      <c r="AT6" s="53"/>
      <c r="AU6" s="53"/>
      <c r="AV6" s="53"/>
      <c r="AW6" s="53"/>
      <c r="AX6" s="53"/>
    </row>
    <row r="7" spans="2:53" ht="14.4" customHeight="1" thickTop="1" x14ac:dyDescent="0.3">
      <c r="B7" s="1" t="s">
        <v>325</v>
      </c>
    </row>
    <row r="8" spans="2:53" ht="21.6" thickBot="1" x14ac:dyDescent="0.45">
      <c r="B8" s="159"/>
      <c r="C8" s="584" t="s">
        <v>122</v>
      </c>
      <c r="D8" s="584"/>
      <c r="E8" s="584"/>
      <c r="F8" s="584"/>
      <c r="G8" s="584"/>
      <c r="H8" s="584"/>
      <c r="I8" s="584"/>
      <c r="J8" s="584"/>
      <c r="K8" s="584"/>
      <c r="L8" s="584"/>
      <c r="M8" s="584"/>
      <c r="N8" s="584"/>
      <c r="O8" s="584"/>
      <c r="P8" s="584"/>
      <c r="Q8" s="584"/>
      <c r="R8" s="584"/>
      <c r="S8" s="584"/>
      <c r="T8" s="584"/>
      <c r="U8" s="584"/>
      <c r="V8" s="584"/>
      <c r="W8" s="585"/>
      <c r="Y8" s="591" t="s">
        <v>122</v>
      </c>
      <c r="Z8" s="592"/>
      <c r="AA8" s="592"/>
      <c r="AB8" s="592"/>
      <c r="AC8" s="592"/>
      <c r="AD8" s="592"/>
      <c r="AE8" s="592"/>
      <c r="AF8" s="592"/>
      <c r="AG8" s="592"/>
      <c r="AH8" s="592"/>
      <c r="AI8" s="592"/>
      <c r="AJ8" s="593"/>
      <c r="AK8" s="242"/>
      <c r="AL8" s="242"/>
      <c r="AM8" s="242"/>
      <c r="AN8" s="242"/>
      <c r="AO8" s="242"/>
      <c r="AP8" s="242"/>
      <c r="AQ8" s="242"/>
      <c r="AR8" s="242"/>
      <c r="AS8" s="242"/>
      <c r="AT8" s="1"/>
      <c r="AU8" s="1"/>
      <c r="AV8" s="1"/>
      <c r="AW8" s="1"/>
      <c r="AX8" s="1"/>
    </row>
    <row r="9" spans="2:53" ht="14.4" customHeight="1" thickTop="1" x14ac:dyDescent="0.3">
      <c r="B9" s="160" t="s">
        <v>18</v>
      </c>
      <c r="C9" s="581">
        <f>20</f>
        <v>20</v>
      </c>
      <c r="D9" s="582"/>
      <c r="E9" s="583"/>
      <c r="F9" s="581">
        <f>C9+1</f>
        <v>21</v>
      </c>
      <c r="G9" s="582"/>
      <c r="H9" s="583"/>
      <c r="I9" s="581">
        <f>F9+1</f>
        <v>22</v>
      </c>
      <c r="J9" s="582"/>
      <c r="K9" s="583"/>
      <c r="L9" s="581">
        <f>I9+1</f>
        <v>23</v>
      </c>
      <c r="M9" s="582"/>
      <c r="N9" s="583"/>
      <c r="O9" s="581">
        <f>L9+1</f>
        <v>24</v>
      </c>
      <c r="P9" s="582"/>
      <c r="Q9" s="583"/>
      <c r="R9" s="581">
        <f>O9+1</f>
        <v>25</v>
      </c>
      <c r="S9" s="582"/>
      <c r="T9" s="583"/>
      <c r="U9" s="581">
        <f>R9+1</f>
        <v>26</v>
      </c>
      <c r="V9" s="582"/>
      <c r="W9" s="583"/>
      <c r="X9" s="245" t="s">
        <v>131</v>
      </c>
      <c r="Y9" s="587">
        <v>27</v>
      </c>
      <c r="Z9" s="588"/>
      <c r="AA9" s="589"/>
      <c r="AB9" s="587">
        <f>Y9+1</f>
        <v>28</v>
      </c>
      <c r="AC9" s="588"/>
      <c r="AD9" s="589"/>
      <c r="AE9" s="587">
        <f>AB9+1</f>
        <v>29</v>
      </c>
      <c r="AF9" s="588"/>
      <c r="AG9" s="589"/>
      <c r="AH9" s="587">
        <f>AE9+1</f>
        <v>30</v>
      </c>
      <c r="AI9" s="588"/>
      <c r="AJ9" s="589"/>
      <c r="AK9" s="586"/>
      <c r="AL9" s="586"/>
      <c r="AM9" s="586"/>
      <c r="AN9" s="586"/>
      <c r="AO9" s="586"/>
      <c r="AP9" s="586"/>
      <c r="AQ9" s="586"/>
      <c r="AR9" s="586"/>
      <c r="AS9" s="586"/>
      <c r="AT9" s="147"/>
      <c r="AU9" s="147"/>
      <c r="AV9" s="147"/>
      <c r="AW9" s="147"/>
      <c r="AX9" s="148"/>
    </row>
    <row r="10" spans="2:53" ht="28.8" customHeight="1" x14ac:dyDescent="0.3">
      <c r="B10" s="156"/>
      <c r="C10" s="151" t="s">
        <v>120</v>
      </c>
      <c r="D10" s="153" t="s">
        <v>124</v>
      </c>
      <c r="E10" s="154" t="s">
        <v>121</v>
      </c>
      <c r="F10" s="153" t="str">
        <f>C10</f>
        <v>Opening Balance</v>
      </c>
      <c r="G10" s="153" t="str">
        <f t="shared" ref="G10:W10" si="0">D10</f>
        <v>Addition/ Adjustments</v>
      </c>
      <c r="H10" s="155" t="str">
        <f t="shared" si="0"/>
        <v>Gross</v>
      </c>
      <c r="I10" s="153" t="str">
        <f t="shared" si="0"/>
        <v>Opening Balance</v>
      </c>
      <c r="J10" s="153" t="str">
        <f t="shared" si="0"/>
        <v>Addition/ Adjustments</v>
      </c>
      <c r="K10" s="155" t="str">
        <f t="shared" si="0"/>
        <v>Gross</v>
      </c>
      <c r="L10" s="153" t="str">
        <f t="shared" si="0"/>
        <v>Opening Balance</v>
      </c>
      <c r="M10" s="153" t="str">
        <f t="shared" si="0"/>
        <v>Addition/ Adjustments</v>
      </c>
      <c r="N10" s="155" t="str">
        <f t="shared" si="0"/>
        <v>Gross</v>
      </c>
      <c r="O10" s="153" t="str">
        <f t="shared" si="0"/>
        <v>Opening Balance</v>
      </c>
      <c r="P10" s="153" t="str">
        <f t="shared" si="0"/>
        <v>Addition/ Adjustments</v>
      </c>
      <c r="Q10" s="155" t="str">
        <f t="shared" si="0"/>
        <v>Gross</v>
      </c>
      <c r="R10" s="153" t="str">
        <f t="shared" si="0"/>
        <v>Opening Balance</v>
      </c>
      <c r="S10" s="153" t="str">
        <f t="shared" si="0"/>
        <v>Addition/ Adjustments</v>
      </c>
      <c r="T10" s="155" t="str">
        <f t="shared" si="0"/>
        <v>Gross</v>
      </c>
      <c r="U10" s="153" t="str">
        <f t="shared" si="0"/>
        <v>Opening Balance</v>
      </c>
      <c r="V10" s="153" t="str">
        <f t="shared" si="0"/>
        <v>Addition/ Adjustments</v>
      </c>
      <c r="W10" s="155" t="str">
        <f t="shared" si="0"/>
        <v>Gross</v>
      </c>
      <c r="X10" s="7"/>
      <c r="Y10" s="151" t="s">
        <v>120</v>
      </c>
      <c r="Z10" s="153" t="s">
        <v>124</v>
      </c>
      <c r="AA10" s="154" t="s">
        <v>121</v>
      </c>
      <c r="AB10" s="153" t="str">
        <f t="shared" ref="AB10:AJ10" si="1">Y10</f>
        <v>Opening Balance</v>
      </c>
      <c r="AC10" s="153" t="str">
        <f t="shared" si="1"/>
        <v>Addition/ Adjustments</v>
      </c>
      <c r="AD10" s="155" t="str">
        <f t="shared" si="1"/>
        <v>Gross</v>
      </c>
      <c r="AE10" s="153" t="str">
        <f t="shared" si="1"/>
        <v>Opening Balance</v>
      </c>
      <c r="AF10" s="153" t="str">
        <f t="shared" si="1"/>
        <v>Addition/ Adjustments</v>
      </c>
      <c r="AG10" s="155" t="str">
        <f t="shared" si="1"/>
        <v>Gross</v>
      </c>
      <c r="AH10" s="153" t="str">
        <f t="shared" si="1"/>
        <v>Opening Balance</v>
      </c>
      <c r="AI10" s="153" t="str">
        <f t="shared" si="1"/>
        <v>Addition/ Adjustments</v>
      </c>
      <c r="AJ10" s="155" t="str">
        <f t="shared" si="1"/>
        <v>Gross</v>
      </c>
      <c r="AL10" s="23"/>
      <c r="AM10" s="23"/>
      <c r="AN10" s="23"/>
      <c r="AO10" s="23"/>
      <c r="AP10" s="23"/>
      <c r="AQ10" s="23"/>
      <c r="AR10" s="23"/>
      <c r="AS10" s="23"/>
      <c r="AT10" s="23"/>
      <c r="AU10" s="23"/>
      <c r="AX10" s="28"/>
    </row>
    <row r="11" spans="2:53" ht="14.4" customHeight="1" x14ac:dyDescent="0.3">
      <c r="B11" s="157"/>
      <c r="C11" s="58">
        <v>6302.92</v>
      </c>
      <c r="D11" s="58">
        <f>30.72+294.98-32.91-28.02</f>
        <v>264.7700000000001</v>
      </c>
      <c r="E11" s="58">
        <f>C11+D11</f>
        <v>6567.6900000000005</v>
      </c>
      <c r="F11" s="58">
        <f>E11</f>
        <v>6567.6900000000005</v>
      </c>
      <c r="G11" s="58">
        <f>263.73-38.22-20.85</f>
        <v>204.66000000000003</v>
      </c>
      <c r="H11" s="58">
        <f>F11+G11</f>
        <v>6772.35</v>
      </c>
      <c r="I11" s="58">
        <f>H11</f>
        <v>6772.35</v>
      </c>
      <c r="J11" s="58">
        <f>269.34-22.76-22.07</f>
        <v>224.51</v>
      </c>
      <c r="K11" s="58">
        <f>I11+J11</f>
        <v>6996.8600000000006</v>
      </c>
      <c r="L11" s="58">
        <f>K11</f>
        <v>6996.8600000000006</v>
      </c>
      <c r="M11" s="58">
        <f>0.92+533.78-20.41-29.37</f>
        <v>484.91999999999996</v>
      </c>
      <c r="N11" s="58">
        <f>L11+M11</f>
        <v>7481.7800000000007</v>
      </c>
      <c r="O11" s="58">
        <f>N11</f>
        <v>7481.7800000000007</v>
      </c>
      <c r="P11" s="58">
        <f>18.69-13.6-21.62+786.65</f>
        <v>770.12</v>
      </c>
      <c r="Q11" s="58">
        <f>O11+P11</f>
        <v>8251.9000000000015</v>
      </c>
      <c r="R11" s="58">
        <f>Q11</f>
        <v>8251.9000000000015</v>
      </c>
      <c r="S11" s="58">
        <f>3100.17-160.64-59.74-28.71</f>
        <v>2851.0800000000004</v>
      </c>
      <c r="T11" s="58">
        <f>R11+S11</f>
        <v>11102.980000000001</v>
      </c>
      <c r="U11" s="58">
        <f>T11</f>
        <v>11102.980000000001</v>
      </c>
      <c r="V11" s="58">
        <f>85.06+1111.01-166.5</f>
        <v>1029.57</v>
      </c>
      <c r="W11" s="174">
        <f>U11+V11</f>
        <v>12132.550000000001</v>
      </c>
      <c r="X11" s="7"/>
      <c r="Y11" s="247">
        <f>W11</f>
        <v>12132.550000000001</v>
      </c>
      <c r="Z11" s="259">
        <f>$X$12*SOPL!P13</f>
        <v>983.11539404344728</v>
      </c>
      <c r="AA11" s="44">
        <f>Y11+Z11</f>
        <v>13115.665394043448</v>
      </c>
      <c r="AB11" s="241">
        <f>AA11</f>
        <v>13115.665394043448</v>
      </c>
      <c r="AC11" s="260">
        <f>X12*SOPL!Q13</f>
        <v>1072.9857315387787</v>
      </c>
      <c r="AD11" s="241">
        <f>AB11+AC11</f>
        <v>14188.651125582226</v>
      </c>
      <c r="AE11" s="241">
        <f>AD11</f>
        <v>14188.651125582226</v>
      </c>
      <c r="AF11" s="260">
        <f>X12*SOPL!R13</f>
        <v>1171.1115633489162</v>
      </c>
      <c r="AG11" s="241">
        <f>AE11+AF11</f>
        <v>15359.762688931143</v>
      </c>
      <c r="AH11" s="241">
        <f>AG11</f>
        <v>15359.762688931143</v>
      </c>
      <c r="AI11" s="260">
        <f>X12*SOPL!S13</f>
        <v>1278.2485255225452</v>
      </c>
      <c r="AJ11" s="248">
        <f>AH11+AI11</f>
        <v>16638.011214453687</v>
      </c>
      <c r="AK11" s="241"/>
      <c r="AL11" s="241"/>
      <c r="AM11" s="241"/>
      <c r="AN11" s="241"/>
      <c r="AO11" s="241"/>
      <c r="AP11" s="241"/>
      <c r="AQ11" s="23"/>
      <c r="AR11" s="28"/>
      <c r="AS11" s="28"/>
      <c r="AT11" s="28"/>
      <c r="AW11" s="28"/>
    </row>
    <row r="12" spans="2:53" s="1" customFormat="1" ht="14.4" customHeight="1" x14ac:dyDescent="0.3">
      <c r="B12" s="166" t="s">
        <v>178</v>
      </c>
      <c r="C12" s="167"/>
      <c r="D12" s="167">
        <f>D11/SOPL!I$13</f>
        <v>1.310012987816192E-2</v>
      </c>
      <c r="E12" s="167"/>
      <c r="F12" s="167"/>
      <c r="G12" s="167">
        <f>G11/SOPL!J$13</f>
        <v>9.4257808416145523E-3</v>
      </c>
      <c r="H12" s="167"/>
      <c r="I12" s="167"/>
      <c r="J12" s="167">
        <f>J11/SOPL!K$13</f>
        <v>7.7147809305982418E-3</v>
      </c>
      <c r="K12" s="167"/>
      <c r="L12" s="167"/>
      <c r="M12" s="167">
        <f>M11/SOPL!L$13</f>
        <v>1.4060302262284422E-2</v>
      </c>
      <c r="N12" s="167"/>
      <c r="O12" s="167"/>
      <c r="P12" s="167">
        <f>P11/SOPL!M$13</f>
        <v>2.1696742023393334E-2</v>
      </c>
      <c r="Q12" s="167"/>
      <c r="R12" s="167"/>
      <c r="S12" s="167">
        <f>S11/SOPL!N$13</f>
        <v>8.4088714496298844E-2</v>
      </c>
      <c r="T12" s="167"/>
      <c r="U12" s="167"/>
      <c r="V12" s="167">
        <f>V11/SOPL!O$13</f>
        <v>2.893388347533719E-2</v>
      </c>
      <c r="W12" s="176"/>
      <c r="X12" s="471">
        <f>MEDIAN(M12,P12,S12,V12)</f>
        <v>2.5315312749365264E-2</v>
      </c>
      <c r="Y12" s="249"/>
      <c r="Z12" s="145" t="str">
        <f>Z27</f>
        <v>(CAPEX)</v>
      </c>
      <c r="AA12" s="145"/>
      <c r="AB12" s="145"/>
      <c r="AC12" s="145" t="str">
        <f>AC27</f>
        <v>(CAPEX)</v>
      </c>
      <c r="AD12" s="145"/>
      <c r="AE12" s="145"/>
      <c r="AF12" s="145" t="str">
        <f>AF27</f>
        <v>(CAPEX)</v>
      </c>
      <c r="AG12" s="145"/>
      <c r="AH12" s="145"/>
      <c r="AI12" s="145" t="str">
        <f>AI27</f>
        <v>(CAPEX)</v>
      </c>
      <c r="AJ12" s="78"/>
      <c r="AK12" s="168"/>
      <c r="AL12" s="168"/>
      <c r="AM12" s="168"/>
      <c r="AN12" s="168"/>
      <c r="AO12" s="168"/>
      <c r="AP12" s="168"/>
      <c r="AQ12" s="168"/>
      <c r="AR12" s="169"/>
      <c r="AS12" s="169"/>
      <c r="AT12" s="169"/>
      <c r="AW12" s="169"/>
    </row>
    <row r="13" spans="2:53" ht="21.6" thickBot="1" x14ac:dyDescent="0.45">
      <c r="B13" s="161"/>
      <c r="C13" s="590" t="s">
        <v>126</v>
      </c>
      <c r="D13" s="584"/>
      <c r="E13" s="584"/>
      <c r="F13" s="584"/>
      <c r="G13" s="584"/>
      <c r="H13" s="584"/>
      <c r="I13" s="584"/>
      <c r="J13" s="584"/>
      <c r="K13" s="584"/>
      <c r="L13" s="584"/>
      <c r="M13" s="584"/>
      <c r="N13" s="584"/>
      <c r="O13" s="584"/>
      <c r="P13" s="584"/>
      <c r="Q13" s="584"/>
      <c r="R13" s="584"/>
      <c r="S13" s="584"/>
      <c r="T13" s="584"/>
      <c r="U13" s="584"/>
      <c r="V13" s="584"/>
      <c r="W13" s="585"/>
      <c r="X13" s="7"/>
      <c r="Y13" s="591" t="s">
        <v>126</v>
      </c>
      <c r="Z13" s="592"/>
      <c r="AA13" s="592"/>
      <c r="AB13" s="592"/>
      <c r="AC13" s="592"/>
      <c r="AD13" s="592"/>
      <c r="AE13" s="592"/>
      <c r="AF13" s="592"/>
      <c r="AG13" s="592"/>
      <c r="AH13" s="592"/>
      <c r="AI13" s="592"/>
      <c r="AJ13" s="593"/>
      <c r="AK13" s="242"/>
      <c r="AL13" s="242"/>
      <c r="AM13" s="242"/>
      <c r="AN13" s="242"/>
      <c r="AO13" s="242"/>
      <c r="AP13" s="242"/>
      <c r="AQ13" s="242"/>
      <c r="AR13" s="242"/>
      <c r="AS13" s="242"/>
      <c r="AT13" s="143"/>
      <c r="AW13" s="143"/>
    </row>
    <row r="14" spans="2:53" ht="14.4" customHeight="1" thickTop="1" x14ac:dyDescent="0.3">
      <c r="B14" s="160" t="s">
        <v>18</v>
      </c>
      <c r="C14" s="581">
        <f>20</f>
        <v>20</v>
      </c>
      <c r="D14" s="582"/>
      <c r="E14" s="583"/>
      <c r="F14" s="581">
        <f>C14+1</f>
        <v>21</v>
      </c>
      <c r="G14" s="582"/>
      <c r="H14" s="583"/>
      <c r="I14" s="581">
        <f>F14+1</f>
        <v>22</v>
      </c>
      <c r="J14" s="582"/>
      <c r="K14" s="583"/>
      <c r="L14" s="581">
        <f>I14+1</f>
        <v>23</v>
      </c>
      <c r="M14" s="582"/>
      <c r="N14" s="583"/>
      <c r="O14" s="581">
        <f>L14+1</f>
        <v>24</v>
      </c>
      <c r="P14" s="582"/>
      <c r="Q14" s="583"/>
      <c r="R14" s="581">
        <f>O14+1</f>
        <v>25</v>
      </c>
      <c r="S14" s="582"/>
      <c r="T14" s="583"/>
      <c r="U14" s="581">
        <f>R14+1</f>
        <v>26</v>
      </c>
      <c r="V14" s="582"/>
      <c r="W14" s="583"/>
      <c r="X14" s="7"/>
      <c r="Y14" s="587">
        <f>Y9</f>
        <v>27</v>
      </c>
      <c r="Z14" s="588"/>
      <c r="AA14" s="589"/>
      <c r="AB14" s="587">
        <f>Y14+1</f>
        <v>28</v>
      </c>
      <c r="AC14" s="588"/>
      <c r="AD14" s="589"/>
      <c r="AE14" s="587">
        <f>AB14+1</f>
        <v>29</v>
      </c>
      <c r="AF14" s="588"/>
      <c r="AG14" s="589"/>
      <c r="AH14" s="587">
        <f>AE14+1</f>
        <v>30</v>
      </c>
      <c r="AI14" s="588"/>
      <c r="AJ14" s="589"/>
      <c r="AK14" s="586"/>
      <c r="AL14" s="586"/>
      <c r="AM14" s="586"/>
      <c r="AN14" s="586"/>
      <c r="AO14" s="586"/>
      <c r="AP14" s="586"/>
      <c r="AQ14" s="586"/>
      <c r="AR14" s="586"/>
      <c r="AS14" s="586"/>
      <c r="AT14" s="143"/>
      <c r="AW14" s="143"/>
    </row>
    <row r="15" spans="2:53" ht="28.8" x14ac:dyDescent="0.3">
      <c r="B15" s="158"/>
      <c r="C15" s="151" t="s">
        <v>120</v>
      </c>
      <c r="D15" s="153" t="str">
        <f>D10</f>
        <v>Addition/ Adjustments</v>
      </c>
      <c r="E15" s="154" t="s">
        <v>121</v>
      </c>
      <c r="F15" s="153" t="str">
        <f t="shared" ref="F15:W15" si="2">C15</f>
        <v>Opening Balance</v>
      </c>
      <c r="G15" s="153" t="str">
        <f t="shared" si="2"/>
        <v>Addition/ Adjustments</v>
      </c>
      <c r="H15" s="154" t="str">
        <f t="shared" si="2"/>
        <v>Gross</v>
      </c>
      <c r="I15" s="153" t="str">
        <f t="shared" si="2"/>
        <v>Opening Balance</v>
      </c>
      <c r="J15" s="153" t="str">
        <f t="shared" si="2"/>
        <v>Addition/ Adjustments</v>
      </c>
      <c r="K15" s="154" t="str">
        <f t="shared" si="2"/>
        <v>Gross</v>
      </c>
      <c r="L15" s="153" t="str">
        <f t="shared" si="2"/>
        <v>Opening Balance</v>
      </c>
      <c r="M15" s="153" t="str">
        <f t="shared" si="2"/>
        <v>Addition/ Adjustments</v>
      </c>
      <c r="N15" s="154" t="str">
        <f t="shared" si="2"/>
        <v>Gross</v>
      </c>
      <c r="O15" s="153" t="str">
        <f t="shared" si="2"/>
        <v>Opening Balance</v>
      </c>
      <c r="P15" s="153" t="str">
        <f t="shared" si="2"/>
        <v>Addition/ Adjustments</v>
      </c>
      <c r="Q15" s="154" t="str">
        <f t="shared" si="2"/>
        <v>Gross</v>
      </c>
      <c r="R15" s="153" t="str">
        <f t="shared" si="2"/>
        <v>Opening Balance</v>
      </c>
      <c r="S15" s="153" t="str">
        <f t="shared" si="2"/>
        <v>Addition/ Adjustments</v>
      </c>
      <c r="T15" s="154" t="str">
        <f t="shared" si="2"/>
        <v>Gross</v>
      </c>
      <c r="U15" s="153" t="str">
        <f t="shared" si="2"/>
        <v>Opening Balance</v>
      </c>
      <c r="V15" s="153" t="str">
        <f t="shared" si="2"/>
        <v>Addition/ Adjustments</v>
      </c>
      <c r="W15" s="154" t="str">
        <f t="shared" si="2"/>
        <v>Gross</v>
      </c>
      <c r="X15" s="7"/>
      <c r="Y15" s="151" t="str">
        <f>Y10</f>
        <v>Opening Balance</v>
      </c>
      <c r="Z15" s="153" t="str">
        <f t="shared" ref="Z15:AJ15" si="3">Z10</f>
        <v>Addition/ Adjustments</v>
      </c>
      <c r="AA15" s="155" t="str">
        <f t="shared" si="3"/>
        <v>Gross</v>
      </c>
      <c r="AB15" s="153" t="str">
        <f t="shared" si="3"/>
        <v>Opening Balance</v>
      </c>
      <c r="AC15" s="153" t="str">
        <f t="shared" si="3"/>
        <v>Addition/ Adjustments</v>
      </c>
      <c r="AD15" s="155" t="str">
        <f t="shared" si="3"/>
        <v>Gross</v>
      </c>
      <c r="AE15" s="153" t="str">
        <f t="shared" si="3"/>
        <v>Opening Balance</v>
      </c>
      <c r="AF15" s="153" t="str">
        <f t="shared" si="3"/>
        <v>Addition/ Adjustments</v>
      </c>
      <c r="AG15" s="155" t="str">
        <f t="shared" si="3"/>
        <v>Gross</v>
      </c>
      <c r="AH15" s="153" t="str">
        <f t="shared" si="3"/>
        <v>Opening Balance</v>
      </c>
      <c r="AI15" s="153" t="str">
        <f t="shared" si="3"/>
        <v>Addition/ Adjustments</v>
      </c>
      <c r="AJ15" s="155" t="str">
        <f t="shared" si="3"/>
        <v>Gross</v>
      </c>
      <c r="AK15" s="142"/>
      <c r="AL15" s="23"/>
      <c r="AM15" s="142"/>
      <c r="AN15" s="142"/>
      <c r="AO15" s="142"/>
      <c r="AP15" s="142"/>
      <c r="AQ15" s="142"/>
      <c r="AR15" s="143"/>
      <c r="AS15" s="143"/>
      <c r="AT15" s="143"/>
      <c r="AW15" s="143"/>
    </row>
    <row r="16" spans="2:53" ht="14.4" customHeight="1" x14ac:dyDescent="0.3">
      <c r="B16" s="157"/>
      <c r="C16" s="58">
        <v>1272.48</v>
      </c>
      <c r="D16" s="58">
        <f>14.07+533.39-7.66-9.35</f>
        <v>530.45000000000005</v>
      </c>
      <c r="E16" s="58">
        <f>C16+D16</f>
        <v>1802.93</v>
      </c>
      <c r="F16" s="58">
        <f>E16</f>
        <v>1802.93</v>
      </c>
      <c r="G16" s="58">
        <f>544.45-34.8-16.58</f>
        <v>493.07000000000005</v>
      </c>
      <c r="H16" s="58">
        <f>F16+G16</f>
        <v>2296</v>
      </c>
      <c r="I16" s="58">
        <f>H16</f>
        <v>2296</v>
      </c>
      <c r="J16" s="58">
        <f>546.29-12.67-17.22</f>
        <v>516.4</v>
      </c>
      <c r="K16" s="58">
        <f>I16+J16</f>
        <v>2812.4</v>
      </c>
      <c r="L16" s="58">
        <f>K16</f>
        <v>2812.4</v>
      </c>
      <c r="M16" s="58">
        <f>551.5-4.08-23.69</f>
        <v>523.7299999999999</v>
      </c>
      <c r="N16" s="58">
        <f>L16+M16</f>
        <v>3336.13</v>
      </c>
      <c r="O16" s="58">
        <f>N16</f>
        <v>3336.13</v>
      </c>
      <c r="P16" s="58">
        <f>8.09+483.64-18.57-3.59</f>
        <v>469.57</v>
      </c>
      <c r="Q16" s="58">
        <f>O16+P16</f>
        <v>3805.7000000000003</v>
      </c>
      <c r="R16" s="58">
        <f>Q16</f>
        <v>3805.7000000000003</v>
      </c>
      <c r="S16" s="58">
        <f>617.08-11-53-43.42</f>
        <v>509.66</v>
      </c>
      <c r="T16" s="58">
        <f>R16+S16</f>
        <v>4315.3600000000006</v>
      </c>
      <c r="U16" s="58">
        <f>T16</f>
        <v>4315.3600000000006</v>
      </c>
      <c r="V16" s="58">
        <f>21.13+809.32-159.49</f>
        <v>670.96</v>
      </c>
      <c r="W16" s="174">
        <f>U16+V16</f>
        <v>4986.3200000000006</v>
      </c>
      <c r="X16" s="7"/>
      <c r="Y16" s="247">
        <f>W16</f>
        <v>4986.3200000000006</v>
      </c>
      <c r="Z16" s="256">
        <f>$X$17*(Y11+Z11-Y16)</f>
        <v>806.60043494834463</v>
      </c>
      <c r="AA16" s="4">
        <f>Y16+Z16</f>
        <v>5792.9204349483452</v>
      </c>
      <c r="AB16" s="241">
        <f>AA16</f>
        <v>5792.9204349483452</v>
      </c>
      <c r="AC16" s="260">
        <f>X17*(AB11+AC11-AB16)</f>
        <v>833.0314064077595</v>
      </c>
      <c r="AD16" s="241">
        <f>AB16+AC16</f>
        <v>6625.9518413561045</v>
      </c>
      <c r="AE16" s="241">
        <f>AD16</f>
        <v>6625.9518413561045</v>
      </c>
      <c r="AF16" s="260">
        <f>X17*(AE11+AF11-AE16)</f>
        <v>866.57600174946458</v>
      </c>
      <c r="AG16" s="241">
        <f>AE16+AF16</f>
        <v>7492.5278431055694</v>
      </c>
      <c r="AH16" s="241">
        <f>AG16</f>
        <v>7492.5278431055694</v>
      </c>
      <c r="AI16" s="260">
        <f>X17*(AH11+AI11-AH16)</f>
        <v>907.42249315023003</v>
      </c>
      <c r="AJ16" s="248">
        <f>AH16+AI16</f>
        <v>8399.9503362557989</v>
      </c>
      <c r="AK16" s="142"/>
      <c r="AL16" s="142"/>
      <c r="AM16" s="142"/>
      <c r="AN16" s="142"/>
      <c r="AO16" s="23"/>
      <c r="AP16" s="142"/>
      <c r="AQ16" s="142"/>
      <c r="AR16" s="143"/>
      <c r="AS16" s="143"/>
      <c r="AT16" s="143"/>
      <c r="AW16" s="143"/>
    </row>
    <row r="17" spans="2:49" s="1" customFormat="1" ht="14.4" customHeight="1" x14ac:dyDescent="0.3">
      <c r="B17" s="163" t="s">
        <v>127</v>
      </c>
      <c r="C17" s="177"/>
      <c r="D17" s="177"/>
      <c r="E17" s="164">
        <f>D16/(C11+D11-C16)</f>
        <v>0.10017544157833211</v>
      </c>
      <c r="F17" s="164"/>
      <c r="G17" s="164"/>
      <c r="H17" s="164">
        <f>G16/(F11+G11-F16)</f>
        <v>9.9220834624563839E-2</v>
      </c>
      <c r="I17" s="164"/>
      <c r="J17" s="164"/>
      <c r="K17" s="164">
        <f>J16/(I11+J11-I16)</f>
        <v>0.10985223980292966</v>
      </c>
      <c r="L17" s="164"/>
      <c r="M17" s="164"/>
      <c r="N17" s="164">
        <f>M16/(L11+M11-L16)</f>
        <v>0.11216264257781543</v>
      </c>
      <c r="O17" s="164"/>
      <c r="P17" s="164"/>
      <c r="Q17" s="164">
        <f>P16/(O11+P11-O16)</f>
        <v>9.5523183550084698E-2</v>
      </c>
      <c r="R17" s="164"/>
      <c r="S17" s="164"/>
      <c r="T17" s="164">
        <f>S16/(R11+S11-R16)</f>
        <v>6.9842461848798457E-2</v>
      </c>
      <c r="U17" s="164"/>
      <c r="V17" s="164"/>
      <c r="W17" s="165">
        <f>V16/(U11+V11-U16)</f>
        <v>8.5831353721733769E-2</v>
      </c>
      <c r="X17" s="471">
        <f>MEDIAN(N17,E17,H17,K17,Q17,T17,W17)</f>
        <v>9.9220834624563839E-2</v>
      </c>
      <c r="Y17" s="22"/>
      <c r="Z17" s="145" t="s">
        <v>288</v>
      </c>
      <c r="AA17" s="145"/>
      <c r="AB17" s="145"/>
      <c r="AC17" s="261" t="str">
        <f>Z17</f>
        <v>(Depreciation)</v>
      </c>
      <c r="AD17" s="261"/>
      <c r="AE17" s="145"/>
      <c r="AF17" s="261" t="str">
        <f>AC17</f>
        <v>(Depreciation)</v>
      </c>
      <c r="AG17" s="261"/>
      <c r="AH17" s="145"/>
      <c r="AI17" s="261" t="str">
        <f>AF17</f>
        <v>(Depreciation)</v>
      </c>
      <c r="AJ17" s="250"/>
      <c r="AK17" s="26"/>
      <c r="AL17" s="26"/>
      <c r="AM17" s="26"/>
      <c r="AN17" s="26"/>
      <c r="AO17" s="26"/>
      <c r="AP17" s="26"/>
      <c r="AQ17" s="26"/>
      <c r="AR17" s="170"/>
      <c r="AS17" s="170"/>
      <c r="AT17" s="170"/>
      <c r="AW17" s="170"/>
    </row>
    <row r="18" spans="2:49" s="1" customFormat="1" ht="14.4" customHeight="1" x14ac:dyDescent="0.3">
      <c r="B18" s="173" t="s">
        <v>125</v>
      </c>
      <c r="C18" s="178"/>
      <c r="D18" s="178"/>
      <c r="E18" s="178">
        <f>E11-E16</f>
        <v>4764.76</v>
      </c>
      <c r="F18" s="178"/>
      <c r="G18" s="178"/>
      <c r="H18" s="178">
        <f>H11-H16</f>
        <v>4476.3500000000004</v>
      </c>
      <c r="I18" s="178"/>
      <c r="J18" s="178"/>
      <c r="K18" s="178">
        <f>K11-K16</f>
        <v>4184.4600000000009</v>
      </c>
      <c r="L18" s="178"/>
      <c r="M18" s="178"/>
      <c r="N18" s="178">
        <f>N11-N16</f>
        <v>4145.6500000000005</v>
      </c>
      <c r="O18" s="178"/>
      <c r="P18" s="178"/>
      <c r="Q18" s="178">
        <f>Q11-Q16</f>
        <v>4446.2000000000007</v>
      </c>
      <c r="R18" s="178"/>
      <c r="S18" s="178"/>
      <c r="T18" s="178">
        <f>T11-T16</f>
        <v>6787.6200000000008</v>
      </c>
      <c r="U18" s="178"/>
      <c r="V18" s="178"/>
      <c r="W18" s="179">
        <f>W11-W16</f>
        <v>7146.2300000000005</v>
      </c>
      <c r="X18" s="246"/>
      <c r="Y18" s="243"/>
      <c r="Z18" s="178"/>
      <c r="AA18" s="178">
        <f>AA11-AA16</f>
        <v>7322.7449590951028</v>
      </c>
      <c r="AB18" s="244"/>
      <c r="AC18" s="224"/>
      <c r="AD18" s="178">
        <f>AD11-AD16</f>
        <v>7562.6992842261216</v>
      </c>
      <c r="AE18" s="244"/>
      <c r="AF18" s="224"/>
      <c r="AG18" s="178">
        <f>AG11-AG16</f>
        <v>7867.2348458255738</v>
      </c>
      <c r="AH18" s="244"/>
      <c r="AI18" s="224"/>
      <c r="AJ18" s="179">
        <f>AJ11-AJ16</f>
        <v>8238.0608781978881</v>
      </c>
      <c r="AK18" s="26"/>
      <c r="AL18" s="26"/>
      <c r="AM18" s="26"/>
      <c r="AN18" s="26"/>
      <c r="AO18" s="26"/>
      <c r="AP18" s="26"/>
      <c r="AQ18" s="26"/>
      <c r="AR18" s="170"/>
      <c r="AS18" s="170"/>
      <c r="AT18" s="170"/>
      <c r="AW18" s="170"/>
    </row>
    <row r="19" spans="2:49" x14ac:dyDescent="0.3">
      <c r="AC19" s="23"/>
      <c r="AD19" s="141"/>
      <c r="AE19" s="141"/>
      <c r="AF19" s="141"/>
      <c r="AG19" s="141"/>
      <c r="AH19" s="141"/>
      <c r="AI19" s="141"/>
      <c r="AJ19" s="141"/>
      <c r="AK19" s="142"/>
      <c r="AL19" s="142"/>
      <c r="AM19" s="142"/>
      <c r="AN19" s="142"/>
      <c r="AO19" s="142"/>
      <c r="AP19" s="142"/>
      <c r="AQ19" s="142"/>
      <c r="AR19" s="143"/>
      <c r="AS19" s="143"/>
      <c r="AT19" s="143"/>
      <c r="AW19" s="143"/>
    </row>
    <row r="20" spans="2:49" ht="15" thickBot="1" x14ac:dyDescent="0.35">
      <c r="W20" s="44"/>
    </row>
    <row r="21" spans="2:49" ht="22.2" thickTop="1" thickBot="1" x14ac:dyDescent="0.45">
      <c r="B21" s="523" t="s">
        <v>193</v>
      </c>
      <c r="C21" s="523"/>
      <c r="D21" s="523"/>
      <c r="E21" s="523"/>
      <c r="F21" s="523"/>
      <c r="G21" s="523"/>
      <c r="H21" s="523"/>
      <c r="I21" s="523"/>
      <c r="J21" s="523"/>
      <c r="K21" s="523"/>
      <c r="L21" s="523"/>
      <c r="M21" s="523"/>
      <c r="N21" s="523"/>
      <c r="O21" s="523"/>
      <c r="P21" s="523"/>
      <c r="Q21" s="523"/>
      <c r="R21" s="523"/>
      <c r="S21" s="523"/>
      <c r="T21" s="523"/>
      <c r="U21" s="523"/>
      <c r="V21" s="523"/>
      <c r="W21" s="523"/>
      <c r="X21" s="523"/>
      <c r="Y21" s="523"/>
      <c r="Z21" s="523"/>
      <c r="AA21" s="523"/>
      <c r="AB21" s="523"/>
      <c r="AC21" s="523"/>
      <c r="AD21" s="523"/>
      <c r="AE21" s="523"/>
      <c r="AF21" s="523"/>
      <c r="AG21" s="523"/>
      <c r="AH21" s="523"/>
      <c r="AI21" s="523"/>
      <c r="AJ21" s="523"/>
    </row>
    <row r="22" spans="2:49" ht="14.4" customHeight="1" thickTop="1" x14ac:dyDescent="0.3">
      <c r="B22" s="1" t="s">
        <v>325</v>
      </c>
    </row>
    <row r="23" spans="2:49" ht="21.6" thickBot="1" x14ac:dyDescent="0.45">
      <c r="B23" s="159"/>
      <c r="C23" s="584" t="s">
        <v>122</v>
      </c>
      <c r="D23" s="584"/>
      <c r="E23" s="584"/>
      <c r="F23" s="584"/>
      <c r="G23" s="584"/>
      <c r="H23" s="584"/>
      <c r="I23" s="584"/>
      <c r="J23" s="584"/>
      <c r="K23" s="584"/>
      <c r="L23" s="584"/>
      <c r="M23" s="584"/>
      <c r="N23" s="584"/>
      <c r="O23" s="584"/>
      <c r="P23" s="584"/>
      <c r="Q23" s="584"/>
      <c r="R23" s="584"/>
      <c r="S23" s="584"/>
      <c r="T23" s="584"/>
      <c r="U23" s="584"/>
      <c r="V23" s="584"/>
      <c r="W23" s="585"/>
      <c r="Y23" s="591" t="s">
        <v>122</v>
      </c>
      <c r="Z23" s="592"/>
      <c r="AA23" s="592"/>
      <c r="AB23" s="592"/>
      <c r="AC23" s="592"/>
      <c r="AD23" s="592"/>
      <c r="AE23" s="592"/>
      <c r="AF23" s="592"/>
      <c r="AG23" s="592"/>
      <c r="AH23" s="592"/>
      <c r="AI23" s="592"/>
      <c r="AJ23" s="593"/>
      <c r="AK23" s="252"/>
      <c r="AL23" s="242"/>
      <c r="AM23" s="242"/>
      <c r="AN23" s="242"/>
      <c r="AO23" s="242"/>
      <c r="AP23" s="242"/>
      <c r="AQ23" s="242"/>
      <c r="AR23" s="242"/>
      <c r="AS23" s="242"/>
    </row>
    <row r="24" spans="2:49" ht="14.4" customHeight="1" thickTop="1" x14ac:dyDescent="0.3">
      <c r="B24" s="160" t="s">
        <v>18</v>
      </c>
      <c r="C24" s="581">
        <f>20</f>
        <v>20</v>
      </c>
      <c r="D24" s="582"/>
      <c r="E24" s="583"/>
      <c r="F24" s="581">
        <f>C24+1</f>
        <v>21</v>
      </c>
      <c r="G24" s="582"/>
      <c r="H24" s="583"/>
      <c r="I24" s="581">
        <f>F24+1</f>
        <v>22</v>
      </c>
      <c r="J24" s="582"/>
      <c r="K24" s="583"/>
      <c r="L24" s="581">
        <f>I24+1</f>
        <v>23</v>
      </c>
      <c r="M24" s="582"/>
      <c r="N24" s="583"/>
      <c r="O24" s="581">
        <f>L24+1</f>
        <v>24</v>
      </c>
      <c r="P24" s="582"/>
      <c r="Q24" s="583"/>
      <c r="R24" s="581">
        <f>O24+1</f>
        <v>25</v>
      </c>
      <c r="S24" s="582"/>
      <c r="T24" s="583"/>
      <c r="U24" s="581">
        <f>R24+1</f>
        <v>26</v>
      </c>
      <c r="V24" s="582"/>
      <c r="W24" s="582"/>
      <c r="X24" s="35" t="s">
        <v>131</v>
      </c>
      <c r="Y24" s="587">
        <v>27</v>
      </c>
      <c r="Z24" s="588"/>
      <c r="AA24" s="589"/>
      <c r="AB24" s="587">
        <f>Y24+1</f>
        <v>28</v>
      </c>
      <c r="AC24" s="588"/>
      <c r="AD24" s="589"/>
      <c r="AE24" s="587">
        <f>AB24+1</f>
        <v>29</v>
      </c>
      <c r="AF24" s="588"/>
      <c r="AG24" s="589"/>
      <c r="AH24" s="587">
        <f>AE24+1</f>
        <v>30</v>
      </c>
      <c r="AI24" s="588"/>
      <c r="AJ24" s="588"/>
      <c r="AK24" s="594"/>
      <c r="AL24" s="586"/>
      <c r="AM24" s="586"/>
      <c r="AN24" s="586"/>
      <c r="AO24" s="586"/>
      <c r="AP24" s="586"/>
      <c r="AQ24" s="586"/>
      <c r="AR24" s="586"/>
      <c r="AS24" s="586"/>
    </row>
    <row r="25" spans="2:49" ht="29.4" customHeight="1" x14ac:dyDescent="0.3">
      <c r="B25" s="156"/>
      <c r="C25" s="151" t="s">
        <v>120</v>
      </c>
      <c r="D25" s="153" t="s">
        <v>124</v>
      </c>
      <c r="E25" s="154" t="s">
        <v>121</v>
      </c>
      <c r="F25" s="153" t="str">
        <f t="shared" ref="F25:W25" si="4">C25</f>
        <v>Opening Balance</v>
      </c>
      <c r="G25" s="153" t="str">
        <f t="shared" si="4"/>
        <v>Addition/ Adjustments</v>
      </c>
      <c r="H25" s="155" t="str">
        <f t="shared" si="4"/>
        <v>Gross</v>
      </c>
      <c r="I25" s="153" t="str">
        <f t="shared" si="4"/>
        <v>Opening Balance</v>
      </c>
      <c r="J25" s="153" t="str">
        <f t="shared" si="4"/>
        <v>Addition/ Adjustments</v>
      </c>
      <c r="K25" s="155" t="str">
        <f t="shared" si="4"/>
        <v>Gross</v>
      </c>
      <c r="L25" s="153" t="str">
        <f t="shared" si="4"/>
        <v>Opening Balance</v>
      </c>
      <c r="M25" s="153" t="str">
        <f t="shared" si="4"/>
        <v>Addition/ Adjustments</v>
      </c>
      <c r="N25" s="155" t="str">
        <f t="shared" si="4"/>
        <v>Gross</v>
      </c>
      <c r="O25" s="153" t="str">
        <f t="shared" si="4"/>
        <v>Opening Balance</v>
      </c>
      <c r="P25" s="153" t="str">
        <f t="shared" si="4"/>
        <v>Addition/ Adjustments</v>
      </c>
      <c r="Q25" s="155" t="str">
        <f t="shared" si="4"/>
        <v>Gross</v>
      </c>
      <c r="R25" s="153" t="str">
        <f t="shared" si="4"/>
        <v>Opening Balance</v>
      </c>
      <c r="S25" s="153" t="str">
        <f t="shared" si="4"/>
        <v>Addition/ Adjustments</v>
      </c>
      <c r="T25" s="155" t="str">
        <f t="shared" si="4"/>
        <v>Gross</v>
      </c>
      <c r="U25" s="153" t="str">
        <f t="shared" si="4"/>
        <v>Opening Balance</v>
      </c>
      <c r="V25" s="153" t="str">
        <f t="shared" si="4"/>
        <v>Addition/ Adjustments</v>
      </c>
      <c r="W25" s="153" t="str">
        <f t="shared" si="4"/>
        <v>Gross</v>
      </c>
      <c r="X25" s="149"/>
      <c r="Y25" s="151" t="s">
        <v>120</v>
      </c>
      <c r="Z25" s="153" t="s">
        <v>124</v>
      </c>
      <c r="AA25" s="154" t="s">
        <v>121</v>
      </c>
      <c r="AB25" s="153" t="str">
        <f t="shared" ref="AB25:AJ25" si="5">Y25</f>
        <v>Opening Balance</v>
      </c>
      <c r="AC25" s="153" t="str">
        <f t="shared" si="5"/>
        <v>Addition/ Adjustments</v>
      </c>
      <c r="AD25" s="155" t="str">
        <f t="shared" si="5"/>
        <v>Gross</v>
      </c>
      <c r="AE25" s="153" t="str">
        <f t="shared" si="5"/>
        <v>Opening Balance</v>
      </c>
      <c r="AF25" s="153" t="str">
        <f t="shared" si="5"/>
        <v>Addition/ Adjustments</v>
      </c>
      <c r="AG25" s="155" t="str">
        <f t="shared" si="5"/>
        <v>Gross</v>
      </c>
      <c r="AH25" s="153" t="str">
        <f t="shared" si="5"/>
        <v>Opening Balance</v>
      </c>
      <c r="AI25" s="153" t="str">
        <f t="shared" si="5"/>
        <v>Addition/ Adjustments</v>
      </c>
      <c r="AJ25" s="153" t="str">
        <f t="shared" si="5"/>
        <v>Gross</v>
      </c>
      <c r="AK25" s="181"/>
      <c r="AL25" s="251"/>
      <c r="AM25" s="251"/>
      <c r="AN25" s="251"/>
      <c r="AO25" s="251"/>
      <c r="AP25" s="251"/>
      <c r="AQ25" s="251"/>
      <c r="AR25" s="251"/>
      <c r="AS25" s="251"/>
    </row>
    <row r="26" spans="2:49" ht="14.4" customHeight="1" x14ac:dyDescent="0.3">
      <c r="B26" s="157"/>
      <c r="C26" s="58">
        <v>769.15</v>
      </c>
      <c r="D26" s="58">
        <f>31.72-2.77-3.69-0.15</f>
        <v>25.11</v>
      </c>
      <c r="E26" s="58">
        <f>C26+D26</f>
        <v>794.26</v>
      </c>
      <c r="F26" s="58">
        <f>E26</f>
        <v>794.26</v>
      </c>
      <c r="G26" s="58">
        <f>15.82-36.13-0.2</f>
        <v>-20.51</v>
      </c>
      <c r="H26" s="58">
        <f>F26+G26</f>
        <v>773.75</v>
      </c>
      <c r="I26" s="58">
        <f>H26</f>
        <v>773.75</v>
      </c>
      <c r="J26" s="58">
        <f>24.82-96.76-0.2</f>
        <v>-72.14</v>
      </c>
      <c r="K26" s="58">
        <f>I26+J26</f>
        <v>701.61</v>
      </c>
      <c r="L26" s="58">
        <f>K26</f>
        <v>701.61</v>
      </c>
      <c r="M26" s="58">
        <f>12.98+30.48-35.52-1.76</f>
        <v>6.1799999999999979</v>
      </c>
      <c r="N26" s="58">
        <f>L26+M26</f>
        <v>707.79</v>
      </c>
      <c r="O26" s="58">
        <f>N26</f>
        <v>707.79</v>
      </c>
      <c r="P26" s="58">
        <f>17.87+403.95+37.63</f>
        <v>459.45</v>
      </c>
      <c r="Q26" s="58">
        <f>O26+P26</f>
        <v>1167.24</v>
      </c>
      <c r="R26" s="58">
        <f>Q26</f>
        <v>1167.24</v>
      </c>
      <c r="S26" s="58">
        <f>25.16-25.9-13.57-0.94</f>
        <v>-15.249999999999998</v>
      </c>
      <c r="T26" s="58">
        <f>R26+S26</f>
        <v>1151.99</v>
      </c>
      <c r="U26" s="58">
        <f>T26</f>
        <v>1151.99</v>
      </c>
      <c r="V26" s="58">
        <f>8.78+5.86-1.45</f>
        <v>13.190000000000001</v>
      </c>
      <c r="W26" s="58">
        <f>U26+V26</f>
        <v>1165.18</v>
      </c>
      <c r="X26" s="149"/>
      <c r="Y26" s="58">
        <f>W26</f>
        <v>1165.18</v>
      </c>
      <c r="Z26" s="256">
        <f>X27*SOPL!P13</f>
        <v>126.64288136305196</v>
      </c>
      <c r="AA26" s="58">
        <f>Y26+Z26</f>
        <v>1291.8228813630519</v>
      </c>
      <c r="AB26" s="58">
        <f>AA26</f>
        <v>1291.8228813630519</v>
      </c>
      <c r="AC26" s="256">
        <f>SOPL!Q13*X27</f>
        <v>138.21979141698577</v>
      </c>
      <c r="AD26" s="58">
        <f>AB26+AC26</f>
        <v>1430.0426727800377</v>
      </c>
      <c r="AE26" s="58">
        <f>AD26</f>
        <v>1430.0426727800377</v>
      </c>
      <c r="AF26" s="256">
        <f>SOPL!R13*X27</f>
        <v>150.86015708705364</v>
      </c>
      <c r="AG26" s="58">
        <f>AE26+AF26</f>
        <v>1580.9028298670914</v>
      </c>
      <c r="AH26" s="58">
        <f>AG26</f>
        <v>1580.9028298670914</v>
      </c>
      <c r="AI26" s="256">
        <f>SOPL!S13*X27</f>
        <v>164.661317838233</v>
      </c>
      <c r="AJ26" s="58">
        <f>AH26+AI26</f>
        <v>1745.5641477053246</v>
      </c>
      <c r="AK26" s="253"/>
      <c r="AL26" s="191"/>
      <c r="AM26" s="191"/>
      <c r="AN26" s="191"/>
      <c r="AO26" s="191"/>
      <c r="AP26" s="191"/>
      <c r="AQ26" s="191"/>
      <c r="AR26" s="191"/>
      <c r="AS26" s="191"/>
    </row>
    <row r="27" spans="2:49" s="1" customFormat="1" ht="14.4" customHeight="1" x14ac:dyDescent="0.3">
      <c r="B27" s="166" t="s">
        <v>178</v>
      </c>
      <c r="C27" s="175"/>
      <c r="D27" s="167">
        <f>D26/SOPL!I$13</f>
        <v>1.242377388830478E-3</v>
      </c>
      <c r="E27" s="167"/>
      <c r="F27" s="167"/>
      <c r="G27" s="167">
        <f>G26/SOPL!J$13</f>
        <v>-9.4460453953637471E-4</v>
      </c>
      <c r="H27" s="167"/>
      <c r="I27" s="167"/>
      <c r="J27" s="167">
        <f>J26/SOPL!K$13</f>
        <v>-2.4789287618963841E-3</v>
      </c>
      <c r="K27" s="167"/>
      <c r="L27" s="167"/>
      <c r="M27" s="167">
        <f>M26/SOPL!L$13</f>
        <v>1.7918969723030131E-4</v>
      </c>
      <c r="N27" s="167"/>
      <c r="O27" s="167"/>
      <c r="P27" s="167">
        <f>P26/SOPL!M$13</f>
        <v>1.294417509303494E-2</v>
      </c>
      <c r="Q27" s="167"/>
      <c r="R27" s="167"/>
      <c r="S27" s="167">
        <f>S26/SOPL!N$13</f>
        <v>-4.4977794241780558E-4</v>
      </c>
      <c r="T27" s="167"/>
      <c r="U27" s="167"/>
      <c r="V27" s="167">
        <f>V26/SOPL!O$13</f>
        <v>3.7067700403051526E-4</v>
      </c>
      <c r="W27" s="175"/>
      <c r="X27" s="467">
        <f>AVERAGE(M27,P27,S27,V27)</f>
        <v>3.2610659629694876E-3</v>
      </c>
      <c r="Y27" s="175"/>
      <c r="Z27" s="145" t="s">
        <v>176</v>
      </c>
      <c r="AA27" s="256"/>
      <c r="AB27" s="256"/>
      <c r="AC27" s="145" t="s">
        <v>176</v>
      </c>
      <c r="AD27" s="256"/>
      <c r="AE27" s="256"/>
      <c r="AF27" s="145" t="s">
        <v>176</v>
      </c>
      <c r="AG27" s="256"/>
      <c r="AH27" s="256"/>
      <c r="AI27" s="145" t="s">
        <v>176</v>
      </c>
      <c r="AJ27" s="167"/>
      <c r="AK27" s="254"/>
      <c r="AL27" s="171"/>
      <c r="AM27" s="171"/>
      <c r="AN27" s="171"/>
      <c r="AO27" s="171"/>
      <c r="AP27" s="171"/>
      <c r="AQ27" s="171"/>
      <c r="AR27" s="171"/>
      <c r="AS27" s="89"/>
    </row>
    <row r="28" spans="2:49" ht="21.6" thickBot="1" x14ac:dyDescent="0.45">
      <c r="B28" s="161"/>
      <c r="C28" s="590" t="s">
        <v>129</v>
      </c>
      <c r="D28" s="584"/>
      <c r="E28" s="584"/>
      <c r="F28" s="584"/>
      <c r="G28" s="584"/>
      <c r="H28" s="584"/>
      <c r="I28" s="584"/>
      <c r="J28" s="584"/>
      <c r="K28" s="584"/>
      <c r="L28" s="584"/>
      <c r="M28" s="584"/>
      <c r="N28" s="584"/>
      <c r="O28" s="584"/>
      <c r="P28" s="584"/>
      <c r="Q28" s="584"/>
      <c r="R28" s="584"/>
      <c r="S28" s="584"/>
      <c r="T28" s="584"/>
      <c r="U28" s="584"/>
      <c r="V28" s="584"/>
      <c r="W28" s="584"/>
      <c r="X28" s="149"/>
      <c r="Y28" s="591" t="s">
        <v>129</v>
      </c>
      <c r="Z28" s="592"/>
      <c r="AA28" s="592"/>
      <c r="AB28" s="592"/>
      <c r="AC28" s="592"/>
      <c r="AD28" s="592"/>
      <c r="AE28" s="592"/>
      <c r="AF28" s="592"/>
      <c r="AG28" s="592"/>
      <c r="AH28" s="592"/>
      <c r="AI28" s="592"/>
      <c r="AJ28" s="593"/>
      <c r="AK28" s="252"/>
      <c r="AL28" s="242"/>
      <c r="AM28" s="242"/>
      <c r="AN28" s="242"/>
      <c r="AO28" s="242"/>
      <c r="AP28" s="242"/>
      <c r="AQ28" s="242"/>
      <c r="AR28" s="242"/>
      <c r="AS28" s="242"/>
    </row>
    <row r="29" spans="2:49" ht="14.4" customHeight="1" thickTop="1" x14ac:dyDescent="0.3">
      <c r="B29" s="160" t="s">
        <v>18</v>
      </c>
      <c r="C29" s="581">
        <f>20</f>
        <v>20</v>
      </c>
      <c r="D29" s="582"/>
      <c r="E29" s="583"/>
      <c r="F29" s="581">
        <f>C29+1</f>
        <v>21</v>
      </c>
      <c r="G29" s="582"/>
      <c r="H29" s="583"/>
      <c r="I29" s="581">
        <f>F29+1</f>
        <v>22</v>
      </c>
      <c r="J29" s="582"/>
      <c r="K29" s="583"/>
      <c r="L29" s="581">
        <f>I29+1</f>
        <v>23</v>
      </c>
      <c r="M29" s="582"/>
      <c r="N29" s="583"/>
      <c r="O29" s="581">
        <f>L29+1</f>
        <v>24</v>
      </c>
      <c r="P29" s="582"/>
      <c r="Q29" s="583"/>
      <c r="R29" s="581">
        <f>O29+1</f>
        <v>25</v>
      </c>
      <c r="S29" s="582"/>
      <c r="T29" s="583"/>
      <c r="U29" s="581">
        <f>R29+1</f>
        <v>26</v>
      </c>
      <c r="V29" s="582"/>
      <c r="W29" s="582"/>
      <c r="X29" s="149"/>
      <c r="Y29" s="587">
        <f>Y24</f>
        <v>27</v>
      </c>
      <c r="Z29" s="588"/>
      <c r="AA29" s="589"/>
      <c r="AB29" s="587">
        <f>Y29+1</f>
        <v>28</v>
      </c>
      <c r="AC29" s="588"/>
      <c r="AD29" s="589"/>
      <c r="AE29" s="587">
        <f>AB29+1</f>
        <v>29</v>
      </c>
      <c r="AF29" s="588"/>
      <c r="AG29" s="589"/>
      <c r="AH29" s="587">
        <f>AE29+1</f>
        <v>30</v>
      </c>
      <c r="AI29" s="588"/>
      <c r="AJ29" s="589"/>
      <c r="AK29" s="594"/>
      <c r="AL29" s="586"/>
      <c r="AM29" s="586"/>
      <c r="AN29" s="586"/>
      <c r="AO29" s="586"/>
      <c r="AP29" s="586"/>
      <c r="AQ29" s="586"/>
      <c r="AR29" s="586"/>
      <c r="AS29" s="586"/>
    </row>
    <row r="30" spans="2:49" ht="29.4" customHeight="1" x14ac:dyDescent="0.3">
      <c r="B30" s="158"/>
      <c r="C30" s="151" t="s">
        <v>120</v>
      </c>
      <c r="D30" s="153" t="str">
        <f>D25</f>
        <v>Addition/ Adjustments</v>
      </c>
      <c r="E30" s="154" t="s">
        <v>121</v>
      </c>
      <c r="F30" s="153" t="str">
        <f t="shared" ref="F30:W30" si="6">C30</f>
        <v>Opening Balance</v>
      </c>
      <c r="G30" s="153" t="str">
        <f t="shared" si="6"/>
        <v>Addition/ Adjustments</v>
      </c>
      <c r="H30" s="154" t="str">
        <f t="shared" si="6"/>
        <v>Gross</v>
      </c>
      <c r="I30" s="153" t="str">
        <f t="shared" si="6"/>
        <v>Opening Balance</v>
      </c>
      <c r="J30" s="153" t="str">
        <f t="shared" si="6"/>
        <v>Addition/ Adjustments</v>
      </c>
      <c r="K30" s="154" t="str">
        <f t="shared" si="6"/>
        <v>Gross</v>
      </c>
      <c r="L30" s="153" t="str">
        <f t="shared" si="6"/>
        <v>Opening Balance</v>
      </c>
      <c r="M30" s="153" t="str">
        <f t="shared" si="6"/>
        <v>Addition/ Adjustments</v>
      </c>
      <c r="N30" s="154" t="str">
        <f t="shared" si="6"/>
        <v>Gross</v>
      </c>
      <c r="O30" s="153" t="str">
        <f t="shared" si="6"/>
        <v>Opening Balance</v>
      </c>
      <c r="P30" s="153" t="str">
        <f t="shared" si="6"/>
        <v>Addition/ Adjustments</v>
      </c>
      <c r="Q30" s="154" t="str">
        <f t="shared" si="6"/>
        <v>Gross</v>
      </c>
      <c r="R30" s="153" t="str">
        <f t="shared" si="6"/>
        <v>Opening Balance</v>
      </c>
      <c r="S30" s="153" t="str">
        <f t="shared" si="6"/>
        <v>Addition/ Adjustments</v>
      </c>
      <c r="T30" s="154" t="str">
        <f t="shared" si="6"/>
        <v>Gross</v>
      </c>
      <c r="U30" s="153" t="str">
        <f t="shared" si="6"/>
        <v>Opening Balance</v>
      </c>
      <c r="V30" s="153" t="str">
        <f t="shared" si="6"/>
        <v>Addition/ Adjustments</v>
      </c>
      <c r="W30" s="152" t="str">
        <f t="shared" si="6"/>
        <v>Gross</v>
      </c>
      <c r="X30" s="149"/>
      <c r="Y30" s="151" t="s">
        <v>120</v>
      </c>
      <c r="Z30" s="153" t="str">
        <f>Z25</f>
        <v>Addition/ Adjustments</v>
      </c>
      <c r="AA30" s="154" t="s">
        <v>121</v>
      </c>
      <c r="AB30" s="153" t="str">
        <f t="shared" ref="AB30:AJ30" si="7">Y30</f>
        <v>Opening Balance</v>
      </c>
      <c r="AC30" s="153" t="str">
        <f t="shared" si="7"/>
        <v>Addition/ Adjustments</v>
      </c>
      <c r="AD30" s="154" t="str">
        <f t="shared" si="7"/>
        <v>Gross</v>
      </c>
      <c r="AE30" s="153" t="str">
        <f t="shared" si="7"/>
        <v>Opening Balance</v>
      </c>
      <c r="AF30" s="153" t="str">
        <f t="shared" si="7"/>
        <v>Addition/ Adjustments</v>
      </c>
      <c r="AG30" s="154" t="str">
        <f t="shared" si="7"/>
        <v>Gross</v>
      </c>
      <c r="AH30" s="153" t="str">
        <f t="shared" si="7"/>
        <v>Opening Balance</v>
      </c>
      <c r="AI30" s="153" t="str">
        <f t="shared" si="7"/>
        <v>Addition/ Adjustments</v>
      </c>
      <c r="AJ30" s="152" t="str">
        <f t="shared" si="7"/>
        <v>Gross</v>
      </c>
      <c r="AK30" s="181"/>
      <c r="AL30" s="251"/>
      <c r="AM30" s="3"/>
      <c r="AN30" s="251"/>
      <c r="AO30" s="251"/>
      <c r="AP30" s="3"/>
      <c r="AQ30" s="251"/>
      <c r="AR30" s="251"/>
      <c r="AS30" s="3"/>
    </row>
    <row r="31" spans="2:49" ht="14.4" customHeight="1" x14ac:dyDescent="0.3">
      <c r="B31" s="157"/>
      <c r="C31" s="58">
        <v>121.7</v>
      </c>
      <c r="D31" s="58">
        <f>0.27+35.15-2.77</f>
        <v>32.65</v>
      </c>
      <c r="E31" s="58">
        <f>C31+D31</f>
        <v>154.35</v>
      </c>
      <c r="F31" s="58">
        <f>E31</f>
        <v>154.35</v>
      </c>
      <c r="G31" s="58">
        <f>31.66-0.19-1.14</f>
        <v>30.33</v>
      </c>
      <c r="H31" s="58">
        <f>F31+G31</f>
        <v>184.68</v>
      </c>
      <c r="I31" s="58">
        <f>H31</f>
        <v>184.68</v>
      </c>
      <c r="J31" s="58">
        <f>28.83-6.63-0.19</f>
        <v>22.009999999999998</v>
      </c>
      <c r="K31" s="58">
        <f>I31+J31</f>
        <v>206.69</v>
      </c>
      <c r="L31" s="58">
        <f>K31</f>
        <v>206.69</v>
      </c>
      <c r="M31" s="58">
        <f>29.09-35.13-0.54</f>
        <v>-6.5800000000000027</v>
      </c>
      <c r="N31" s="58">
        <f>L31+M31</f>
        <v>200.10999999999999</v>
      </c>
      <c r="O31" s="58">
        <f>N31</f>
        <v>200.10999999999999</v>
      </c>
      <c r="P31" s="58">
        <f>27.34+1.76</f>
        <v>29.1</v>
      </c>
      <c r="Q31" s="58">
        <f>O31+P31</f>
        <v>229.20999999999998</v>
      </c>
      <c r="R31" s="58">
        <f>Q31</f>
        <v>229.20999999999998</v>
      </c>
      <c r="S31" s="58">
        <f>31.09-13.57-0.8-1.38</f>
        <v>15.34</v>
      </c>
      <c r="T31" s="58">
        <f>R31+S31</f>
        <v>244.54999999999998</v>
      </c>
      <c r="U31" s="58">
        <f>T31</f>
        <v>244.54999999999998</v>
      </c>
      <c r="V31" s="58">
        <f>1.41+27.04-1.45</f>
        <v>27</v>
      </c>
      <c r="W31" s="58">
        <f>U31+V31</f>
        <v>271.54999999999995</v>
      </c>
      <c r="X31" s="149"/>
      <c r="Y31" s="58">
        <v>121.7</v>
      </c>
      <c r="Z31" s="175">
        <f>X32*(Y26+Z26-Y31)</f>
        <v>35.207858144887254</v>
      </c>
      <c r="AA31" s="58">
        <f>Y31+Z31</f>
        <v>156.90785814488726</v>
      </c>
      <c r="AB31" s="58">
        <f>AA31</f>
        <v>156.90785814488726</v>
      </c>
      <c r="AC31" s="175">
        <f>X32*(AB26+AC26-AB31)</f>
        <v>38.307386913737432</v>
      </c>
      <c r="AD31" s="58">
        <f>AB31+AC31</f>
        <v>195.2152450586247</v>
      </c>
      <c r="AE31" s="58">
        <f>AD31</f>
        <v>195.2152450586247</v>
      </c>
      <c r="AF31" s="175">
        <f>X32*(AE26+AF26-AE31)</f>
        <v>41.693990174977905</v>
      </c>
      <c r="AG31" s="58">
        <f>AE31+AF31</f>
        <v>236.9092352336026</v>
      </c>
      <c r="AH31" s="58">
        <f>AG31</f>
        <v>236.9092352336026</v>
      </c>
      <c r="AI31" s="175">
        <f>X32*(AH26+AI26-AH31)</f>
        <v>45.393957330376587</v>
      </c>
      <c r="AJ31" s="58">
        <f>AH31+AI31</f>
        <v>282.30319256397917</v>
      </c>
      <c r="AK31" s="253"/>
      <c r="AL31" s="191"/>
      <c r="AM31" s="191"/>
      <c r="AN31" s="191"/>
      <c r="AO31" s="191"/>
      <c r="AP31" s="191"/>
      <c r="AQ31" s="191"/>
      <c r="AR31" s="191"/>
      <c r="AS31" s="191"/>
    </row>
    <row r="32" spans="2:49" s="1" customFormat="1" ht="14.4" customHeight="1" x14ac:dyDescent="0.3">
      <c r="B32" s="163" t="s">
        <v>130</v>
      </c>
      <c r="C32" s="177"/>
      <c r="D32" s="177"/>
      <c r="E32" s="164">
        <f>D31/(C26+D26-C31)</f>
        <v>4.8545854644938741E-2</v>
      </c>
      <c r="F32" s="164"/>
      <c r="G32" s="164"/>
      <c r="H32" s="164">
        <f>G31/(F26+G26-F31)</f>
        <v>4.8966742008395223E-2</v>
      </c>
      <c r="I32" s="164"/>
      <c r="J32" s="164"/>
      <c r="K32" s="164">
        <f>J31/(I26+J26-I31)</f>
        <v>4.2578298802545787E-2</v>
      </c>
      <c r="L32" s="164"/>
      <c r="M32" s="164"/>
      <c r="N32" s="164">
        <f>M31/(L26+M26-L31)</f>
        <v>-1.313111155457993E-2</v>
      </c>
      <c r="O32" s="164"/>
      <c r="P32" s="164"/>
      <c r="Q32" s="164">
        <f>P31/(O26+P26-O31)</f>
        <v>3.0089026294293428E-2</v>
      </c>
      <c r="R32" s="164"/>
      <c r="S32" s="164"/>
      <c r="T32" s="164">
        <f>S31/(R26+S26-R31)</f>
        <v>1.662368061726522E-2</v>
      </c>
      <c r="U32" s="164"/>
      <c r="V32" s="164"/>
      <c r="W32" s="164">
        <f>V31/(U26+V26-U31)</f>
        <v>2.9327742958626155E-2</v>
      </c>
      <c r="X32" s="467">
        <f>MEDIAN(N32,E32,H32,K32,Q32,T32,W32)</f>
        <v>3.0089026294293428E-2</v>
      </c>
      <c r="Y32" s="177"/>
      <c r="Z32" s="145" t="s">
        <v>177</v>
      </c>
      <c r="AA32" s="164"/>
      <c r="AB32" s="164"/>
      <c r="AC32" s="145" t="s">
        <v>177</v>
      </c>
      <c r="AD32" s="164"/>
      <c r="AE32" s="164"/>
      <c r="AF32" s="145" t="s">
        <v>177</v>
      </c>
      <c r="AG32" s="164"/>
      <c r="AH32" s="164"/>
      <c r="AI32" s="145" t="s">
        <v>177</v>
      </c>
      <c r="AJ32" s="164"/>
      <c r="AK32" s="254"/>
      <c r="AL32" s="171"/>
      <c r="AM32" s="171"/>
      <c r="AN32" s="171"/>
      <c r="AO32" s="171"/>
      <c r="AP32" s="171"/>
      <c r="AQ32" s="171"/>
      <c r="AR32" s="171"/>
      <c r="AS32" s="171"/>
    </row>
    <row r="33" spans="2:45" ht="21.6" thickBot="1" x14ac:dyDescent="0.45">
      <c r="B33" s="161"/>
      <c r="C33" s="590" t="s">
        <v>128</v>
      </c>
      <c r="D33" s="584"/>
      <c r="E33" s="584"/>
      <c r="F33" s="584"/>
      <c r="G33" s="584"/>
      <c r="H33" s="584"/>
      <c r="I33" s="584"/>
      <c r="J33" s="584"/>
      <c r="K33" s="584"/>
      <c r="L33" s="584"/>
      <c r="M33" s="584"/>
      <c r="N33" s="584"/>
      <c r="O33" s="584"/>
      <c r="P33" s="584"/>
      <c r="Q33" s="584"/>
      <c r="R33" s="584"/>
      <c r="S33" s="584"/>
      <c r="T33" s="584"/>
      <c r="U33" s="584"/>
      <c r="V33" s="584"/>
      <c r="W33" s="584"/>
      <c r="X33" s="217"/>
      <c r="Y33" s="591" t="s">
        <v>128</v>
      </c>
      <c r="Z33" s="592"/>
      <c r="AA33" s="592"/>
      <c r="AB33" s="592"/>
      <c r="AC33" s="592"/>
      <c r="AD33" s="592"/>
      <c r="AE33" s="592"/>
      <c r="AF33" s="592"/>
      <c r="AG33" s="592"/>
      <c r="AH33" s="592"/>
      <c r="AI33" s="592"/>
      <c r="AJ33" s="593"/>
      <c r="AK33" s="252"/>
      <c r="AL33" s="242"/>
      <c r="AM33" s="242"/>
      <c r="AN33" s="242"/>
      <c r="AO33" s="242"/>
      <c r="AP33" s="242"/>
      <c r="AQ33" s="242"/>
      <c r="AR33" s="242"/>
      <c r="AS33" s="242"/>
    </row>
    <row r="34" spans="2:45" ht="14.4" customHeight="1" thickTop="1" x14ac:dyDescent="0.3">
      <c r="B34" s="160" t="s">
        <v>18</v>
      </c>
      <c r="C34" s="581">
        <f>20</f>
        <v>20</v>
      </c>
      <c r="D34" s="582"/>
      <c r="E34" s="583"/>
      <c r="F34" s="581">
        <f>C34+1</f>
        <v>21</v>
      </c>
      <c r="G34" s="582"/>
      <c r="H34" s="583"/>
      <c r="I34" s="581">
        <f>F34+1</f>
        <v>22</v>
      </c>
      <c r="J34" s="582"/>
      <c r="K34" s="583"/>
      <c r="L34" s="581">
        <f>I34+1</f>
        <v>23</v>
      </c>
      <c r="M34" s="582"/>
      <c r="N34" s="583"/>
      <c r="O34" s="581">
        <f>L34+1</f>
        <v>24</v>
      </c>
      <c r="P34" s="582"/>
      <c r="Q34" s="583"/>
      <c r="R34" s="581">
        <f>O34+1</f>
        <v>25</v>
      </c>
      <c r="S34" s="582"/>
      <c r="T34" s="583"/>
      <c r="U34" s="581">
        <f>R34+1</f>
        <v>26</v>
      </c>
      <c r="V34" s="582"/>
      <c r="W34" s="582"/>
      <c r="X34" s="181"/>
      <c r="Y34" s="587">
        <v>27</v>
      </c>
      <c r="Z34" s="588"/>
      <c r="AA34" s="589"/>
      <c r="AB34" s="587">
        <f>Y34+1</f>
        <v>28</v>
      </c>
      <c r="AC34" s="588"/>
      <c r="AD34" s="589"/>
      <c r="AE34" s="587">
        <f>AB34+1</f>
        <v>29</v>
      </c>
      <c r="AF34" s="588"/>
      <c r="AG34" s="589"/>
      <c r="AH34" s="587">
        <f>AE34+1</f>
        <v>30</v>
      </c>
      <c r="AI34" s="588"/>
      <c r="AJ34" s="589"/>
      <c r="AK34" s="594"/>
      <c r="AL34" s="586"/>
      <c r="AM34" s="586"/>
      <c r="AN34" s="586"/>
      <c r="AO34" s="586"/>
      <c r="AP34" s="586"/>
      <c r="AQ34" s="586"/>
      <c r="AR34" s="586"/>
      <c r="AS34" s="586"/>
    </row>
    <row r="35" spans="2:45" ht="29.4" customHeight="1" x14ac:dyDescent="0.3">
      <c r="B35" s="158"/>
      <c r="C35" s="151" t="s">
        <v>120</v>
      </c>
      <c r="D35" s="162" t="str">
        <f>D30</f>
        <v>Addition/ Adjustments</v>
      </c>
      <c r="E35" s="154" t="s">
        <v>121</v>
      </c>
      <c r="F35" s="153" t="str">
        <f t="shared" ref="F35:W35" si="8">C35</f>
        <v>Opening Balance</v>
      </c>
      <c r="G35" s="153" t="str">
        <f t="shared" si="8"/>
        <v>Addition/ Adjustments</v>
      </c>
      <c r="H35" s="154" t="str">
        <f t="shared" si="8"/>
        <v>Gross</v>
      </c>
      <c r="I35" s="153" t="str">
        <f t="shared" si="8"/>
        <v>Opening Balance</v>
      </c>
      <c r="J35" s="153" t="str">
        <f t="shared" si="8"/>
        <v>Addition/ Adjustments</v>
      </c>
      <c r="K35" s="154" t="str">
        <f t="shared" si="8"/>
        <v>Gross</v>
      </c>
      <c r="L35" s="153" t="str">
        <f t="shared" si="8"/>
        <v>Opening Balance</v>
      </c>
      <c r="M35" s="153" t="str">
        <f t="shared" si="8"/>
        <v>Addition/ Adjustments</v>
      </c>
      <c r="N35" s="154" t="str">
        <f t="shared" si="8"/>
        <v>Gross</v>
      </c>
      <c r="O35" s="153" t="str">
        <f t="shared" si="8"/>
        <v>Opening Balance</v>
      </c>
      <c r="P35" s="153" t="str">
        <f t="shared" si="8"/>
        <v>Addition/ Adjustments</v>
      </c>
      <c r="Q35" s="154" t="str">
        <f t="shared" si="8"/>
        <v>Gross</v>
      </c>
      <c r="R35" s="153" t="str">
        <f t="shared" si="8"/>
        <v>Opening Balance</v>
      </c>
      <c r="S35" s="153" t="str">
        <f t="shared" si="8"/>
        <v>Addition/ Adjustments</v>
      </c>
      <c r="T35" s="154" t="str">
        <f t="shared" si="8"/>
        <v>Gross</v>
      </c>
      <c r="U35" s="153" t="str">
        <f t="shared" si="8"/>
        <v>Opening Balance</v>
      </c>
      <c r="V35" s="153" t="str">
        <f t="shared" si="8"/>
        <v>Addition/ Adjustments</v>
      </c>
      <c r="W35" s="152" t="str">
        <f t="shared" si="8"/>
        <v>Gross</v>
      </c>
      <c r="X35" s="182"/>
      <c r="Y35" s="151" t="s">
        <v>120</v>
      </c>
      <c r="Z35" s="162" t="str">
        <f>Z30</f>
        <v>Addition/ Adjustments</v>
      </c>
      <c r="AA35" s="154" t="s">
        <v>121</v>
      </c>
      <c r="AB35" s="153" t="str">
        <f t="shared" ref="AB35:AJ35" si="9">Y35</f>
        <v>Opening Balance</v>
      </c>
      <c r="AC35" s="153" t="str">
        <f t="shared" si="9"/>
        <v>Addition/ Adjustments</v>
      </c>
      <c r="AD35" s="154" t="str">
        <f t="shared" si="9"/>
        <v>Gross</v>
      </c>
      <c r="AE35" s="153" t="str">
        <f t="shared" si="9"/>
        <v>Opening Balance</v>
      </c>
      <c r="AF35" s="153" t="str">
        <f t="shared" si="9"/>
        <v>Addition/ Adjustments</v>
      </c>
      <c r="AG35" s="154" t="str">
        <f t="shared" si="9"/>
        <v>Gross</v>
      </c>
      <c r="AH35" s="153" t="str">
        <f t="shared" si="9"/>
        <v>Opening Balance</v>
      </c>
      <c r="AI35" s="153" t="str">
        <f t="shared" si="9"/>
        <v>Addition/ Adjustments</v>
      </c>
      <c r="AJ35" s="152" t="str">
        <f t="shared" si="9"/>
        <v>Gross</v>
      </c>
      <c r="AK35" s="181"/>
      <c r="AL35" s="251"/>
      <c r="AM35" s="3"/>
      <c r="AN35" s="251"/>
      <c r="AO35" s="251"/>
      <c r="AP35" s="3"/>
      <c r="AQ35" s="251"/>
      <c r="AR35" s="251"/>
      <c r="AS35" s="3"/>
    </row>
    <row r="36" spans="2:45" ht="14.4" customHeight="1" x14ac:dyDescent="0.3">
      <c r="B36" s="157"/>
      <c r="C36" s="58">
        <v>52.45</v>
      </c>
      <c r="D36" s="58">
        <v>0</v>
      </c>
      <c r="E36" s="58">
        <f>C36+D36</f>
        <v>52.45</v>
      </c>
      <c r="F36" s="58">
        <f>E36</f>
        <v>52.45</v>
      </c>
      <c r="G36" s="180">
        <v>0</v>
      </c>
      <c r="H36" s="58">
        <f>F36</f>
        <v>52.45</v>
      </c>
      <c r="I36" s="58">
        <f>H36</f>
        <v>52.45</v>
      </c>
      <c r="J36" s="58">
        <f>0.15+13.47</f>
        <v>13.620000000000001</v>
      </c>
      <c r="K36" s="58">
        <f>I36+J36</f>
        <v>66.070000000000007</v>
      </c>
      <c r="L36" s="58">
        <f>K36</f>
        <v>66.070000000000007</v>
      </c>
      <c r="M36" s="58">
        <f>1.06+24.66</f>
        <v>25.72</v>
      </c>
      <c r="N36" s="58">
        <f>L36+M36</f>
        <v>91.79</v>
      </c>
      <c r="O36" s="58">
        <f>N36</f>
        <v>91.79</v>
      </c>
      <c r="P36" s="58">
        <f>1.4+0.68</f>
        <v>2.08</v>
      </c>
      <c r="Q36" s="58">
        <f>O36+P36</f>
        <v>93.87</v>
      </c>
      <c r="R36" s="58">
        <f>Q36</f>
        <v>93.87</v>
      </c>
      <c r="S36" s="58">
        <f>1.55+223.25</f>
        <v>224.8</v>
      </c>
      <c r="T36" s="58">
        <f>R36+S36</f>
        <v>318.67</v>
      </c>
      <c r="U36" s="58">
        <f>T36</f>
        <v>318.67</v>
      </c>
      <c r="V36" s="58">
        <f>5.8+93.87</f>
        <v>99.67</v>
      </c>
      <c r="W36" s="58">
        <f>U36+V36</f>
        <v>418.34000000000003</v>
      </c>
      <c r="X36" s="470">
        <f>MEDIAN(J36,M36,P36,S36,V36)</f>
        <v>25.72</v>
      </c>
      <c r="Y36" s="58">
        <f>W36</f>
        <v>418.34000000000003</v>
      </c>
      <c r="Z36" s="175">
        <f>X36</f>
        <v>25.72</v>
      </c>
      <c r="AA36" s="257">
        <f>Y36+Z36</f>
        <v>444.06000000000006</v>
      </c>
      <c r="AB36" s="58">
        <f>AA36</f>
        <v>444.06000000000006</v>
      </c>
      <c r="AC36" s="258">
        <f>Z36</f>
        <v>25.72</v>
      </c>
      <c r="AD36" s="58">
        <f>AB36+AC36</f>
        <v>469.78000000000009</v>
      </c>
      <c r="AE36" s="58">
        <f>AD36</f>
        <v>469.78000000000009</v>
      </c>
      <c r="AF36" s="175">
        <f>AC36</f>
        <v>25.72</v>
      </c>
      <c r="AG36" s="58">
        <f>AE36+AF36</f>
        <v>495.50000000000011</v>
      </c>
      <c r="AH36" s="58">
        <f>AG36</f>
        <v>495.50000000000011</v>
      </c>
      <c r="AI36" s="175">
        <f>AF36</f>
        <v>25.72</v>
      </c>
      <c r="AJ36" s="58">
        <f>AH36+AI36</f>
        <v>521.22000000000014</v>
      </c>
      <c r="AK36" s="253"/>
      <c r="AL36" s="191"/>
      <c r="AM36" s="191"/>
      <c r="AN36" s="191"/>
      <c r="AO36" s="191"/>
      <c r="AP36" s="191"/>
      <c r="AQ36" s="191"/>
      <c r="AR36" s="191"/>
      <c r="AS36" s="191"/>
    </row>
    <row r="37" spans="2:45" s="1" customFormat="1" ht="14.4" customHeight="1" x14ac:dyDescent="0.3">
      <c r="B37" s="173" t="s">
        <v>125</v>
      </c>
      <c r="C37" s="178"/>
      <c r="D37" s="178"/>
      <c r="E37" s="178">
        <f>E26-E31-E36</f>
        <v>587.45999999999992</v>
      </c>
      <c r="F37" s="178"/>
      <c r="G37" s="178"/>
      <c r="H37" s="178">
        <f>H26-H31-H36</f>
        <v>536.61999999999989</v>
      </c>
      <c r="I37" s="178"/>
      <c r="J37" s="178"/>
      <c r="K37" s="178">
        <f>K26-K31-K36</f>
        <v>428.85</v>
      </c>
      <c r="L37" s="178"/>
      <c r="M37" s="178"/>
      <c r="N37" s="178">
        <f>N26-N31-N36</f>
        <v>415.88999999999993</v>
      </c>
      <c r="O37" s="178"/>
      <c r="P37" s="178"/>
      <c r="Q37" s="178">
        <f>Q26-Q31-Q36</f>
        <v>844.16</v>
      </c>
      <c r="R37" s="178"/>
      <c r="S37" s="178"/>
      <c r="T37" s="178">
        <f>T26-T31-T36</f>
        <v>588.77</v>
      </c>
      <c r="U37" s="178"/>
      <c r="V37" s="178"/>
      <c r="W37" s="179">
        <f>W26-W31-W36</f>
        <v>475.29000000000008</v>
      </c>
      <c r="X37" s="183"/>
      <c r="Y37" s="243"/>
      <c r="Z37" s="178"/>
      <c r="AA37" s="178">
        <f>AA26-AA31-AA36</f>
        <v>690.85502321816455</v>
      </c>
      <c r="AB37" s="178"/>
      <c r="AC37" s="178"/>
      <c r="AD37" s="178">
        <f>AD26-AD31-AD36</f>
        <v>765.04742772141287</v>
      </c>
      <c r="AE37" s="178"/>
      <c r="AF37" s="178"/>
      <c r="AG37" s="178">
        <f>AG26-AG31-AG36</f>
        <v>848.49359463348867</v>
      </c>
      <c r="AH37" s="178"/>
      <c r="AI37" s="178"/>
      <c r="AJ37" s="178">
        <f>AJ26-AJ31-AJ36</f>
        <v>942.04095514134531</v>
      </c>
      <c r="AK37" s="255"/>
      <c r="AL37" s="89"/>
      <c r="AM37" s="89"/>
      <c r="AN37" s="89"/>
      <c r="AO37" s="89"/>
      <c r="AP37" s="89"/>
      <c r="AQ37" s="89"/>
      <c r="AR37" s="89"/>
      <c r="AS37" s="89"/>
    </row>
    <row r="38" spans="2:45" x14ac:dyDescent="0.3">
      <c r="AA38" s="241"/>
      <c r="AB38" s="241"/>
      <c r="AC38" s="241"/>
      <c r="AD38" s="241"/>
    </row>
    <row r="39" spans="2:45" ht="15" thickBot="1" x14ac:dyDescent="0.35"/>
    <row r="40" spans="2:45" ht="22.2" thickTop="1" thickBot="1" x14ac:dyDescent="0.45">
      <c r="B40" s="523" t="s">
        <v>142</v>
      </c>
      <c r="C40" s="523"/>
      <c r="D40" s="523"/>
      <c r="E40" s="523"/>
      <c r="F40" s="523"/>
      <c r="G40" s="523"/>
      <c r="H40" s="523"/>
      <c r="I40" s="523"/>
      <c r="J40" s="523"/>
      <c r="K40" s="523"/>
      <c r="L40" s="523"/>
      <c r="M40" s="523"/>
      <c r="N40" s="523"/>
      <c r="O40" s="523"/>
      <c r="P40" s="523"/>
      <c r="V40" s="523" t="s">
        <v>146</v>
      </c>
      <c r="W40" s="523"/>
      <c r="X40" s="523"/>
      <c r="Y40" s="523"/>
      <c r="Z40" s="523"/>
      <c r="AA40" s="523"/>
      <c r="AB40" s="523"/>
      <c r="AC40" s="523"/>
      <c r="AD40" s="523"/>
      <c r="AE40" s="523"/>
      <c r="AF40" s="523"/>
      <c r="AG40" s="523"/>
      <c r="AH40" s="523"/>
      <c r="AI40" s="523"/>
      <c r="AJ40" s="523"/>
    </row>
    <row r="41" spans="2:45" ht="15" thickTop="1" x14ac:dyDescent="0.3">
      <c r="B41" s="1" t="s">
        <v>325</v>
      </c>
      <c r="V41" s="1" t="s">
        <v>325</v>
      </c>
    </row>
    <row r="42" spans="2:45" x14ac:dyDescent="0.3">
      <c r="B42" s="13" t="s">
        <v>18</v>
      </c>
      <c r="C42" s="12"/>
      <c r="D42" s="12"/>
      <c r="E42" s="20"/>
      <c r="F42" s="197">
        <f>G42-1</f>
        <v>20</v>
      </c>
      <c r="G42" s="33">
        <v>21</v>
      </c>
      <c r="H42" s="33">
        <f t="shared" ref="H42:P42" si="10">G42+1</f>
        <v>22</v>
      </c>
      <c r="I42" s="33">
        <f t="shared" si="10"/>
        <v>23</v>
      </c>
      <c r="J42" s="33">
        <f t="shared" si="10"/>
        <v>24</v>
      </c>
      <c r="K42" s="33">
        <f t="shared" si="10"/>
        <v>25</v>
      </c>
      <c r="L42" s="33">
        <f t="shared" si="10"/>
        <v>26</v>
      </c>
      <c r="M42" s="36">
        <f t="shared" si="10"/>
        <v>27</v>
      </c>
      <c r="N42" s="36">
        <f t="shared" si="10"/>
        <v>28</v>
      </c>
      <c r="O42" s="36">
        <f t="shared" si="10"/>
        <v>29</v>
      </c>
      <c r="P42" s="37">
        <f t="shared" si="10"/>
        <v>30</v>
      </c>
      <c r="V42" s="38" t="s">
        <v>18</v>
      </c>
      <c r="W42" s="39"/>
      <c r="X42" s="39"/>
      <c r="Y42" s="79"/>
      <c r="Z42" s="54">
        <f>AA42-1</f>
        <v>20</v>
      </c>
      <c r="AA42" s="54">
        <v>21</v>
      </c>
      <c r="AB42" s="54">
        <f t="shared" ref="AB42:AJ42" si="11">AA42+1</f>
        <v>22</v>
      </c>
      <c r="AC42" s="54">
        <f t="shared" si="11"/>
        <v>23</v>
      </c>
      <c r="AD42" s="54">
        <f t="shared" si="11"/>
        <v>24</v>
      </c>
      <c r="AE42" s="54">
        <f t="shared" si="11"/>
        <v>25</v>
      </c>
      <c r="AF42" s="54">
        <f t="shared" si="11"/>
        <v>26</v>
      </c>
      <c r="AG42" s="36">
        <f t="shared" si="11"/>
        <v>27</v>
      </c>
      <c r="AH42" s="36">
        <f t="shared" si="11"/>
        <v>28</v>
      </c>
      <c r="AI42" s="36">
        <f t="shared" si="11"/>
        <v>29</v>
      </c>
      <c r="AJ42" s="37">
        <f t="shared" si="11"/>
        <v>30</v>
      </c>
    </row>
    <row r="43" spans="2:45" ht="4.2" customHeight="1" x14ac:dyDescent="0.3">
      <c r="B43" s="194"/>
      <c r="C43" s="198"/>
      <c r="D43" s="198"/>
      <c r="E43" s="195"/>
      <c r="F43" s="196"/>
      <c r="G43" s="196"/>
      <c r="H43" s="196"/>
      <c r="I43" s="196"/>
      <c r="J43" s="196"/>
      <c r="K43" s="196"/>
      <c r="L43" s="196"/>
      <c r="M43" s="145"/>
      <c r="P43" s="34"/>
      <c r="V43" s="7"/>
      <c r="Y43" s="11"/>
      <c r="Z43" s="71"/>
      <c r="AA43" s="71"/>
      <c r="AB43" s="71"/>
      <c r="AC43" s="71"/>
      <c r="AD43" s="71"/>
      <c r="AE43" s="71"/>
      <c r="AF43" s="71"/>
      <c r="AJ43" s="11"/>
    </row>
    <row r="44" spans="2:45" ht="14.4" customHeight="1" x14ac:dyDescent="0.3">
      <c r="B44" s="8" t="s">
        <v>143</v>
      </c>
      <c r="C44" s="32"/>
      <c r="D44" s="32"/>
      <c r="E44" s="11"/>
      <c r="F44" s="71">
        <v>871.12</v>
      </c>
      <c r="G44" s="71">
        <f t="shared" ref="G44:L44" si="12">F47</f>
        <v>920.09</v>
      </c>
      <c r="H44" s="71">
        <f t="shared" si="12"/>
        <v>845.55000000000007</v>
      </c>
      <c r="I44" s="71">
        <f t="shared" si="12"/>
        <v>905.75</v>
      </c>
      <c r="J44" s="71">
        <f t="shared" si="12"/>
        <v>1208.92</v>
      </c>
      <c r="K44" s="71">
        <f t="shared" si="12"/>
        <v>1856.27</v>
      </c>
      <c r="L44" s="71">
        <f t="shared" si="12"/>
        <v>1843.72</v>
      </c>
      <c r="M44" s="143">
        <f>L47</f>
        <v>2018.77</v>
      </c>
      <c r="N44" s="143">
        <f>M47</f>
        <v>2162.4988794275914</v>
      </c>
      <c r="O44" s="143">
        <f>N47</f>
        <v>2316.4607179250675</v>
      </c>
      <c r="P44" s="367">
        <f>O47</f>
        <v>2481.3840639354617</v>
      </c>
      <c r="V44" s="7" t="s">
        <v>147</v>
      </c>
      <c r="Y44" s="11"/>
      <c r="Z44" s="71">
        <v>532.42999999999995</v>
      </c>
      <c r="AA44" s="71">
        <v>544.45000000000005</v>
      </c>
      <c r="AB44" s="71">
        <v>546.29</v>
      </c>
      <c r="AC44" s="71">
        <v>551.5</v>
      </c>
      <c r="AD44" s="71">
        <v>483.64</v>
      </c>
      <c r="AE44" s="71">
        <v>617.08000000000004</v>
      </c>
      <c r="AF44" s="71">
        <v>809.32</v>
      </c>
      <c r="AG44" s="184">
        <f>Z16</f>
        <v>806.60043494834463</v>
      </c>
      <c r="AH44" s="184">
        <f>AC16</f>
        <v>833.0314064077595</v>
      </c>
      <c r="AI44" s="184">
        <f>AF16</f>
        <v>866.57600174946458</v>
      </c>
      <c r="AJ44" s="227">
        <f>AI16</f>
        <v>907.42249315023003</v>
      </c>
    </row>
    <row r="45" spans="2:45" ht="14.4" customHeight="1" x14ac:dyDescent="0.3">
      <c r="B45" s="8" t="s">
        <v>145</v>
      </c>
      <c r="C45" s="32"/>
      <c r="D45" s="32"/>
      <c r="E45" s="11"/>
      <c r="F45" s="71">
        <f>302.19+2.96-9.35-33.43</f>
        <v>262.36999999999995</v>
      </c>
      <c r="G45" s="71">
        <f>222.48+1.17-83.03</f>
        <v>140.61999999999998</v>
      </c>
      <c r="H45" s="71">
        <f>346.17-42.13-2.6</f>
        <v>301.44</v>
      </c>
      <c r="I45" s="71">
        <f>613.58-2.67-30.31</f>
        <v>580.60000000000014</v>
      </c>
      <c r="J45" s="71">
        <f>1011.35+34.4-51.71-0.57</f>
        <v>993.46999999999991</v>
      </c>
      <c r="K45" s="71">
        <f>439.68+0-58.34-0.19-8.21</f>
        <v>372.94000000000005</v>
      </c>
      <c r="L45" s="71">
        <f>607.89+21.59-53.89</f>
        <v>575.59</v>
      </c>
      <c r="M45" s="399">
        <f>M47-M44+M46</f>
        <v>639.99171246831929</v>
      </c>
      <c r="N45" s="399">
        <f>N47-N44+N46</f>
        <v>685.55673061105801</v>
      </c>
      <c r="O45" s="399">
        <f>O47-O44+O46</f>
        <v>734.36580775940581</v>
      </c>
      <c r="P45" s="400">
        <f>P47-P44+P46</f>
        <v>786.64990879082472</v>
      </c>
      <c r="V45" s="7" t="s">
        <v>170</v>
      </c>
      <c r="Y45" s="11"/>
      <c r="Z45" s="71">
        <v>212.91</v>
      </c>
      <c r="AA45" s="71">
        <v>215.16</v>
      </c>
      <c r="AB45" s="71">
        <v>241.24</v>
      </c>
      <c r="AC45" s="71">
        <v>277.43</v>
      </c>
      <c r="AD45" s="71">
        <v>342.02</v>
      </c>
      <c r="AE45" s="71">
        <v>378.17</v>
      </c>
      <c r="AF45" s="71">
        <v>392.49</v>
      </c>
      <c r="AG45" s="184">
        <f>M46</f>
        <v>496.26283304072786</v>
      </c>
      <c r="AH45" s="184">
        <f>N46</f>
        <v>531.59489211358198</v>
      </c>
      <c r="AI45" s="184">
        <f>O46</f>
        <v>569.44246174901161</v>
      </c>
      <c r="AJ45" s="227">
        <f>P46</f>
        <v>609.98463689807488</v>
      </c>
    </row>
    <row r="46" spans="2:45" ht="14.4" customHeight="1" x14ac:dyDescent="0.3">
      <c r="B46" s="7" t="s">
        <v>126</v>
      </c>
      <c r="E46" s="11"/>
      <c r="F46" s="142">
        <v>213.4</v>
      </c>
      <c r="G46" s="142">
        <v>215.16</v>
      </c>
      <c r="H46" s="142">
        <v>241.24</v>
      </c>
      <c r="I46" s="142">
        <v>277.43</v>
      </c>
      <c r="J46" s="142">
        <v>346.12</v>
      </c>
      <c r="K46" s="142">
        <v>385.49</v>
      </c>
      <c r="L46" s="142">
        <v>400.54</v>
      </c>
      <c r="M46" s="143">
        <f>M47*$M$50</f>
        <v>496.26283304072786</v>
      </c>
      <c r="N46" s="143">
        <f>N47*$M$50</f>
        <v>531.59489211358198</v>
      </c>
      <c r="O46" s="143">
        <f>O47*$M$50</f>
        <v>569.44246174901161</v>
      </c>
      <c r="P46" s="367">
        <f>P47*$M$50</f>
        <v>609.98463689807488</v>
      </c>
      <c r="V46" s="7" t="s">
        <v>171</v>
      </c>
      <c r="W46" s="1"/>
      <c r="X46" s="1"/>
      <c r="Y46" s="78"/>
      <c r="Z46" s="142">
        <v>35.159999999999997</v>
      </c>
      <c r="AA46" s="142">
        <v>31.66</v>
      </c>
      <c r="AB46" s="142">
        <v>28.83</v>
      </c>
      <c r="AC46" s="142">
        <v>29.09</v>
      </c>
      <c r="AD46" s="142">
        <v>27.34</v>
      </c>
      <c r="AE46" s="142">
        <v>31.09</v>
      </c>
      <c r="AF46" s="142">
        <v>27.04</v>
      </c>
      <c r="AG46" s="184">
        <f>Z31</f>
        <v>35.207858144887254</v>
      </c>
      <c r="AH46" s="184">
        <f>AC31</f>
        <v>38.307386913737432</v>
      </c>
      <c r="AI46" s="184">
        <f>AF31</f>
        <v>41.693990174977905</v>
      </c>
      <c r="AJ46" s="227">
        <f>AI31</f>
        <v>45.393957330376587</v>
      </c>
    </row>
    <row r="47" spans="2:45" ht="14.4" customHeight="1" x14ac:dyDescent="0.3">
      <c r="B47" s="402" t="s">
        <v>144</v>
      </c>
      <c r="C47" s="403"/>
      <c r="D47" s="403"/>
      <c r="E47" s="210"/>
      <c r="F47" s="404">
        <f t="shared" ref="F47:L47" si="13">F44+F45-F46</f>
        <v>920.09</v>
      </c>
      <c r="G47" s="404">
        <f t="shared" si="13"/>
        <v>845.55000000000007</v>
      </c>
      <c r="H47" s="404">
        <f t="shared" si="13"/>
        <v>905.75</v>
      </c>
      <c r="I47" s="404">
        <f t="shared" si="13"/>
        <v>1208.92</v>
      </c>
      <c r="J47" s="404">
        <f t="shared" si="13"/>
        <v>1856.27</v>
      </c>
      <c r="K47" s="404">
        <f t="shared" si="13"/>
        <v>1843.72</v>
      </c>
      <c r="L47" s="404">
        <f t="shared" si="13"/>
        <v>2018.77</v>
      </c>
      <c r="M47" s="185">
        <f>L47*(1+$M$51)</f>
        <v>2162.4988794275914</v>
      </c>
      <c r="N47" s="185">
        <f>M47*(1+$M$51)</f>
        <v>2316.4607179250675</v>
      </c>
      <c r="O47" s="185">
        <f>N47*(1+$M$51)</f>
        <v>2481.3840639354617</v>
      </c>
      <c r="P47" s="226">
        <f>O47*(1+$M$51)</f>
        <v>2658.0493358282115</v>
      </c>
      <c r="V47" s="134" t="s">
        <v>148</v>
      </c>
      <c r="W47" s="203"/>
      <c r="X47" s="203"/>
      <c r="Y47" s="204"/>
      <c r="Z47" s="224">
        <f t="shared" ref="Z47:AJ47" si="14">SUM(Z44:Z46)</f>
        <v>780.49999999999989</v>
      </c>
      <c r="AA47" s="224">
        <f t="shared" si="14"/>
        <v>791.27</v>
      </c>
      <c r="AB47" s="224">
        <f t="shared" si="14"/>
        <v>816.36</v>
      </c>
      <c r="AC47" s="224">
        <f t="shared" si="14"/>
        <v>858.0200000000001</v>
      </c>
      <c r="AD47" s="224">
        <f t="shared" si="14"/>
        <v>853</v>
      </c>
      <c r="AE47" s="224">
        <f t="shared" si="14"/>
        <v>1026.3399999999999</v>
      </c>
      <c r="AF47" s="224">
        <f t="shared" si="14"/>
        <v>1228.8499999999999</v>
      </c>
      <c r="AG47" s="185">
        <f>SUM(AG44:AG46)</f>
        <v>1338.0711261339598</v>
      </c>
      <c r="AH47" s="185">
        <f t="shared" si="14"/>
        <v>1402.933685435079</v>
      </c>
      <c r="AI47" s="185">
        <f t="shared" si="14"/>
        <v>1477.7124536734541</v>
      </c>
      <c r="AJ47" s="226">
        <f t="shared" si="14"/>
        <v>1562.8010873786816</v>
      </c>
    </row>
    <row r="48" spans="2:45" ht="7.2" customHeight="1" x14ac:dyDescent="0.3">
      <c r="B48" s="409"/>
      <c r="C48" s="409"/>
      <c r="D48" s="409"/>
      <c r="E48" s="206"/>
      <c r="F48" s="410"/>
      <c r="G48" s="410"/>
      <c r="H48" s="410"/>
      <c r="I48" s="410"/>
      <c r="J48" s="410"/>
      <c r="K48" s="410"/>
      <c r="L48" s="410"/>
      <c r="M48" s="401"/>
      <c r="N48" s="170"/>
      <c r="O48" s="170"/>
      <c r="P48" s="170"/>
      <c r="V48" s="1"/>
      <c r="Z48" s="26"/>
      <c r="AA48" s="26"/>
      <c r="AB48" s="26"/>
      <c r="AC48" s="26"/>
      <c r="AD48" s="26"/>
      <c r="AE48" s="26"/>
      <c r="AF48" s="26"/>
      <c r="AG48" s="170"/>
      <c r="AH48" s="170"/>
      <c r="AI48" s="170"/>
      <c r="AJ48" s="170"/>
    </row>
    <row r="49" spans="2:35" ht="14.4" customHeight="1" x14ac:dyDescent="0.3">
      <c r="B49" s="405" t="s">
        <v>127</v>
      </c>
      <c r="C49" s="406"/>
      <c r="D49" s="406"/>
      <c r="E49" s="407"/>
      <c r="F49" s="408">
        <f>F46/(F44+F45)</f>
        <v>0.18826809235193959</v>
      </c>
      <c r="G49" s="408">
        <f t="shared" ref="G49:L49" si="15">G46/(G44+G45)</f>
        <v>0.20284526402126876</v>
      </c>
      <c r="H49" s="408">
        <f t="shared" si="15"/>
        <v>0.21032441433665508</v>
      </c>
      <c r="I49" s="408">
        <f t="shared" si="15"/>
        <v>0.18665186530763278</v>
      </c>
      <c r="J49" s="408">
        <f t="shared" si="15"/>
        <v>0.15715654357311831</v>
      </c>
      <c r="K49" s="408">
        <f t="shared" si="15"/>
        <v>0.17292673189156696</v>
      </c>
      <c r="L49" s="408">
        <f t="shared" si="15"/>
        <v>0.16555960170461828</v>
      </c>
      <c r="M49" s="464">
        <f>MEDIAN(F49:L49)</f>
        <v>0.18665186530763278</v>
      </c>
      <c r="V49" s="69" t="s">
        <v>149</v>
      </c>
      <c r="W49" s="16"/>
      <c r="X49" s="16"/>
      <c r="Y49" s="34"/>
      <c r="Z49" s="411">
        <f t="shared" ref="Z49:AF51" si="16">Z44/Z$47</f>
        <v>0.68216527866752086</v>
      </c>
      <c r="AA49" s="411">
        <f t="shared" si="16"/>
        <v>0.68807107561262282</v>
      </c>
      <c r="AB49" s="411">
        <f t="shared" si="16"/>
        <v>0.6691778137096378</v>
      </c>
      <c r="AC49" s="411">
        <f t="shared" si="16"/>
        <v>0.64275891004871677</v>
      </c>
      <c r="AD49" s="411">
        <f t="shared" si="16"/>
        <v>0.56698710433763189</v>
      </c>
      <c r="AE49" s="411">
        <f t="shared" si="16"/>
        <v>0.60124325272326917</v>
      </c>
      <c r="AF49" s="411">
        <f t="shared" si="16"/>
        <v>0.65859950360092778</v>
      </c>
      <c r="AG49" s="467">
        <f>AVERAGE(Z49:AF49)</f>
        <v>0.64414327695718954</v>
      </c>
      <c r="AI49" s="172"/>
    </row>
    <row r="50" spans="2:35" x14ac:dyDescent="0.3">
      <c r="B50" s="134" t="s">
        <v>289</v>
      </c>
      <c r="C50" s="203"/>
      <c r="D50" s="203"/>
      <c r="E50" s="204"/>
      <c r="F50" s="398">
        <f t="shared" ref="F50:L50" si="17">F46/F47</f>
        <v>0.23193383255985828</v>
      </c>
      <c r="G50" s="202">
        <f t="shared" si="17"/>
        <v>0.2544615930459464</v>
      </c>
      <c r="H50" s="202">
        <f t="shared" si="17"/>
        <v>0.26634280982611097</v>
      </c>
      <c r="I50" s="202">
        <f t="shared" si="17"/>
        <v>0.22948582205605003</v>
      </c>
      <c r="J50" s="202">
        <f t="shared" si="17"/>
        <v>0.18645994386592468</v>
      </c>
      <c r="K50" s="202">
        <f t="shared" si="17"/>
        <v>0.20908272405788297</v>
      </c>
      <c r="L50" s="218">
        <f t="shared" si="17"/>
        <v>0.19840794146931054</v>
      </c>
      <c r="M50" s="467">
        <f>MEDIAN(F50:L50)</f>
        <v>0.22948582205605003</v>
      </c>
      <c r="V50" s="7" t="s">
        <v>150</v>
      </c>
      <c r="Y50" s="11"/>
      <c r="Z50" s="199">
        <f t="shared" si="16"/>
        <v>0.27278667520819988</v>
      </c>
      <c r="AA50" s="199">
        <f t="shared" si="16"/>
        <v>0.27191729750906768</v>
      </c>
      <c r="AB50" s="199">
        <f t="shared" si="16"/>
        <v>0.29550688421774707</v>
      </c>
      <c r="AC50" s="199">
        <f t="shared" si="16"/>
        <v>0.32333745134146052</v>
      </c>
      <c r="AD50" s="199">
        <f t="shared" si="16"/>
        <v>0.40096131301289561</v>
      </c>
      <c r="AE50" s="199">
        <f t="shared" si="16"/>
        <v>0.36846464134692214</v>
      </c>
      <c r="AF50" s="199">
        <f t="shared" si="16"/>
        <v>0.3193961834235261</v>
      </c>
      <c r="AG50" s="467">
        <f>AVERAGE(Z50:AF50)</f>
        <v>0.3217672065799741</v>
      </c>
      <c r="AI50" s="172"/>
    </row>
    <row r="51" spans="2:35" ht="14.4" customHeight="1" x14ac:dyDescent="0.3">
      <c r="B51" s="200" t="s">
        <v>155</v>
      </c>
      <c r="C51" s="219"/>
      <c r="D51" s="219"/>
      <c r="E51" s="201"/>
      <c r="F51" s="202">
        <v>0</v>
      </c>
      <c r="G51" s="202">
        <f t="shared" ref="G51:L51" si="18">G47/F47-1</f>
        <v>-8.101381386603479E-2</v>
      </c>
      <c r="H51" s="202">
        <f t="shared" si="18"/>
        <v>7.1196262787534659E-2</v>
      </c>
      <c r="I51" s="202">
        <f t="shared" si="18"/>
        <v>0.33471708528843513</v>
      </c>
      <c r="J51" s="202">
        <f t="shared" si="18"/>
        <v>0.53547794725871012</v>
      </c>
      <c r="K51" s="202">
        <f t="shared" si="18"/>
        <v>-6.7608699165531139E-3</v>
      </c>
      <c r="L51" s="218">
        <f t="shared" si="18"/>
        <v>9.494391773154276E-2</v>
      </c>
      <c r="M51" s="464">
        <f>MEDIAN(F51:L51)</f>
        <v>7.1196262787534659E-2</v>
      </c>
      <c r="V51" s="7" t="s">
        <v>151</v>
      </c>
      <c r="Y51" s="11"/>
      <c r="Z51" s="167">
        <f t="shared" si="16"/>
        <v>4.504804612427931E-2</v>
      </c>
      <c r="AA51" s="167">
        <f t="shared" si="16"/>
        <v>4.0011626878309552E-2</v>
      </c>
      <c r="AB51" s="167">
        <f t="shared" si="16"/>
        <v>3.5315302072615018E-2</v>
      </c>
      <c r="AC51" s="199">
        <f t="shared" si="16"/>
        <v>3.3903638609822609E-2</v>
      </c>
      <c r="AD51" s="199">
        <f t="shared" si="16"/>
        <v>3.205158264947245E-2</v>
      </c>
      <c r="AE51" s="199">
        <f t="shared" si="16"/>
        <v>3.0292105929808837E-2</v>
      </c>
      <c r="AF51" s="199">
        <f t="shared" si="16"/>
        <v>2.2004312975546243E-2</v>
      </c>
      <c r="AG51" s="467">
        <f>AVERAGE(Z51:AF51)</f>
        <v>3.408951646283629E-2</v>
      </c>
    </row>
    <row r="52" spans="2:35" ht="14.4" customHeight="1" x14ac:dyDescent="0.3">
      <c r="C52" s="193"/>
      <c r="D52" s="58"/>
      <c r="E52" s="58"/>
      <c r="V52" s="16"/>
      <c r="W52" s="16"/>
      <c r="X52" s="16"/>
      <c r="Y52" s="16"/>
      <c r="Z52" s="16"/>
      <c r="AA52" s="16"/>
      <c r="AB52" s="16"/>
      <c r="AC52" s="16"/>
      <c r="AD52" s="16"/>
      <c r="AE52" s="16"/>
      <c r="AF52" s="214" t="s">
        <v>154</v>
      </c>
      <c r="AG52" s="469">
        <f>SUM(AG49:AG51)</f>
        <v>1</v>
      </c>
    </row>
    <row r="53" spans="2:35" ht="15" thickBot="1" x14ac:dyDescent="0.35">
      <c r="Q53" s="215"/>
      <c r="R53" s="216"/>
      <c r="S53" s="216"/>
      <c r="T53" s="216"/>
      <c r="U53" s="216"/>
      <c r="V53" s="216"/>
      <c r="W53" s="216"/>
      <c r="X53" s="172"/>
    </row>
    <row r="54" spans="2:35" ht="22.2" thickTop="1" thickBot="1" x14ac:dyDescent="0.45">
      <c r="B54" s="523" t="s">
        <v>152</v>
      </c>
      <c r="C54" s="523"/>
      <c r="D54" s="523"/>
      <c r="E54" s="523"/>
      <c r="F54" s="523"/>
      <c r="G54" s="523"/>
      <c r="H54" s="523"/>
      <c r="I54" s="523"/>
      <c r="J54" s="523"/>
      <c r="K54" s="523"/>
      <c r="L54" s="523"/>
      <c r="M54" s="523"/>
      <c r="N54" s="523"/>
      <c r="O54" s="523"/>
      <c r="P54" s="523"/>
      <c r="Q54" s="215"/>
      <c r="R54" s="216"/>
      <c r="S54" s="216"/>
      <c r="T54" s="216"/>
      <c r="U54" s="216"/>
    </row>
    <row r="55" spans="2:35" ht="15" thickTop="1" x14ac:dyDescent="0.3">
      <c r="B55" s="1" t="s">
        <v>325</v>
      </c>
      <c r="W55" s="205"/>
      <c r="X55" s="172"/>
    </row>
    <row r="56" spans="2:35" x14ac:dyDescent="0.3">
      <c r="B56" s="38" t="s">
        <v>18</v>
      </c>
      <c r="C56" s="39"/>
      <c r="D56" s="39"/>
      <c r="E56" s="79"/>
      <c r="F56" s="54">
        <f>G56-1</f>
        <v>20</v>
      </c>
      <c r="G56" s="54">
        <v>21</v>
      </c>
      <c r="H56" s="54">
        <f t="shared" ref="H56:P56" si="19">G56+1</f>
        <v>22</v>
      </c>
      <c r="I56" s="54">
        <f t="shared" si="19"/>
        <v>23</v>
      </c>
      <c r="J56" s="54">
        <f t="shared" si="19"/>
        <v>24</v>
      </c>
      <c r="K56" s="54">
        <f t="shared" si="19"/>
        <v>25</v>
      </c>
      <c r="L56" s="54">
        <f t="shared" si="19"/>
        <v>26</v>
      </c>
      <c r="M56" s="36">
        <f t="shared" si="19"/>
        <v>27</v>
      </c>
      <c r="N56" s="36">
        <f t="shared" si="19"/>
        <v>28</v>
      </c>
      <c r="O56" s="36">
        <f t="shared" si="19"/>
        <v>29</v>
      </c>
      <c r="P56" s="37">
        <f t="shared" si="19"/>
        <v>30</v>
      </c>
      <c r="W56" s="205"/>
      <c r="X56" s="172"/>
    </row>
    <row r="57" spans="2:35" ht="5.4" customHeight="1" x14ac:dyDescent="0.3">
      <c r="B57" s="22"/>
      <c r="C57" s="1"/>
      <c r="D57" s="1"/>
      <c r="E57" s="78"/>
      <c r="F57" s="146"/>
      <c r="G57" s="146"/>
      <c r="H57" s="146"/>
      <c r="I57" s="146"/>
      <c r="J57" s="146"/>
      <c r="K57" s="146"/>
      <c r="L57" s="146"/>
      <c r="P57" s="11"/>
      <c r="V57" s="4"/>
      <c r="W57" s="205"/>
      <c r="X57" s="172"/>
    </row>
    <row r="58" spans="2:35" x14ac:dyDescent="0.3">
      <c r="B58" s="7" t="s">
        <v>156</v>
      </c>
      <c r="E58" s="11"/>
      <c r="F58" s="71">
        <v>15.11</v>
      </c>
      <c r="G58" s="71">
        <v>9.9499999999999993</v>
      </c>
      <c r="H58" s="71">
        <v>11.55</v>
      </c>
      <c r="I58" s="71">
        <v>42.82</v>
      </c>
      <c r="J58" s="71">
        <v>57.44</v>
      </c>
      <c r="K58" s="71">
        <v>60.65</v>
      </c>
      <c r="L58" s="71">
        <v>45.4</v>
      </c>
      <c r="M58" s="28">
        <f t="shared" ref="M58:P63" si="20">M$64*$M67</f>
        <v>48.753923093383619</v>
      </c>
      <c r="N58" s="28">
        <f t="shared" si="20"/>
        <v>52.355617114439745</v>
      </c>
      <c r="O58" s="28">
        <f t="shared" si="20"/>
        <v>56.223386130044823</v>
      </c>
      <c r="P58" s="227">
        <f t="shared" si="20"/>
        <v>60.376886419247072</v>
      </c>
      <c r="S58" s="4"/>
      <c r="T58" s="4"/>
      <c r="U58" s="213"/>
    </row>
    <row r="59" spans="2:35" x14ac:dyDescent="0.3">
      <c r="B59" s="7" t="s">
        <v>157</v>
      </c>
      <c r="E59" s="11"/>
      <c r="F59" s="71">
        <v>18.98</v>
      </c>
      <c r="G59" s="71">
        <v>10.75</v>
      </c>
      <c r="H59" s="71">
        <v>17.739999999999998</v>
      </c>
      <c r="I59" s="71">
        <v>31.51</v>
      </c>
      <c r="J59" s="71">
        <v>29.91</v>
      </c>
      <c r="K59" s="71">
        <v>31.56</v>
      </c>
      <c r="L59" s="71">
        <v>18.8</v>
      </c>
      <c r="M59" s="28">
        <f t="shared" si="20"/>
        <v>30.591660743813367</v>
      </c>
      <c r="N59" s="28">
        <f t="shared" si="20"/>
        <v>32.851618396536558</v>
      </c>
      <c r="O59" s="28">
        <f t="shared" si="20"/>
        <v>35.278530325945596</v>
      </c>
      <c r="P59" s="227">
        <f t="shared" si="20"/>
        <v>37.884730272219237</v>
      </c>
      <c r="X59" s="43"/>
      <c r="Y59" s="43"/>
    </row>
    <row r="60" spans="2:35" x14ac:dyDescent="0.3">
      <c r="B60" s="7" t="s">
        <v>158</v>
      </c>
      <c r="E60" s="11"/>
      <c r="F60" s="71">
        <v>1.59</v>
      </c>
      <c r="G60" s="71">
        <v>2.3199999999999998</v>
      </c>
      <c r="H60" s="71">
        <v>1.85</v>
      </c>
      <c r="I60" s="71">
        <v>1.54</v>
      </c>
      <c r="J60" s="71">
        <v>4.08</v>
      </c>
      <c r="K60" s="71">
        <v>3.63</v>
      </c>
      <c r="L60" s="71">
        <v>3.19</v>
      </c>
      <c r="M60" s="28">
        <f t="shared" si="20"/>
        <v>3.4256611160329018</v>
      </c>
      <c r="N60" s="28">
        <f t="shared" si="20"/>
        <v>3.6787316871159206</v>
      </c>
      <c r="O60" s="28">
        <f t="shared" si="20"/>
        <v>3.9504978360097573</v>
      </c>
      <c r="P60" s="227">
        <f t="shared" si="20"/>
        <v>4.2423406977400475</v>
      </c>
      <c r="X60" s="43"/>
      <c r="Y60" s="43"/>
    </row>
    <row r="61" spans="2:35" ht="13.8" customHeight="1" x14ac:dyDescent="0.3">
      <c r="B61" s="7" t="s">
        <v>159</v>
      </c>
      <c r="E61" s="11"/>
      <c r="F61" s="71">
        <v>64.41</v>
      </c>
      <c r="G61" s="71">
        <v>57.46</v>
      </c>
      <c r="H61" s="71">
        <v>56.73</v>
      </c>
      <c r="I61" s="71">
        <v>64.989999999999995</v>
      </c>
      <c r="J61" s="71">
        <v>89.55</v>
      </c>
      <c r="K61" s="71">
        <v>108.45</v>
      </c>
      <c r="L61" s="71">
        <v>111.26</v>
      </c>
      <c r="M61" s="297">
        <f>M64*M70</f>
        <v>119.47932782752999</v>
      </c>
      <c r="N61" s="28">
        <f>N$64*$M70</f>
        <v>128.30585815314021</v>
      </c>
      <c r="O61" s="28">
        <f t="shared" si="20"/>
        <v>137.78444803587635</v>
      </c>
      <c r="P61" s="227">
        <f t="shared" si="20"/>
        <v>147.96326834813721</v>
      </c>
      <c r="W61" s="100"/>
      <c r="X61" s="43"/>
      <c r="Y61" s="43"/>
    </row>
    <row r="62" spans="2:35" ht="14.4" customHeight="1" x14ac:dyDescent="0.3">
      <c r="B62" s="7" t="s">
        <v>160</v>
      </c>
      <c r="E62" s="11"/>
      <c r="F62" s="71">
        <v>2.08</v>
      </c>
      <c r="G62" s="71">
        <v>2.15</v>
      </c>
      <c r="H62" s="71">
        <v>6.72</v>
      </c>
      <c r="I62" s="71">
        <v>1.79</v>
      </c>
      <c r="J62" s="71">
        <v>21.61</v>
      </c>
      <c r="K62" s="71">
        <v>22</v>
      </c>
      <c r="L62" s="71">
        <v>4.5599999999999996</v>
      </c>
      <c r="M62" s="28">
        <f t="shared" si="20"/>
        <v>4.9238098539635073</v>
      </c>
      <c r="N62" s="28">
        <f t="shared" si="20"/>
        <v>5.287556100144962</v>
      </c>
      <c r="O62" s="28">
        <f t="shared" si="20"/>
        <v>5.6781740849872007</v>
      </c>
      <c r="P62" s="227">
        <f t="shared" si="20"/>
        <v>6.0976489570552852</v>
      </c>
      <c r="R62" s="100"/>
    </row>
    <row r="63" spans="2:35" ht="14.4" customHeight="1" x14ac:dyDescent="0.3">
      <c r="B63" s="7" t="s">
        <v>161</v>
      </c>
      <c r="E63" s="11"/>
      <c r="F63" s="225">
        <v>0.16</v>
      </c>
      <c r="G63" s="225">
        <v>9</v>
      </c>
      <c r="H63" s="71">
        <v>0.82</v>
      </c>
      <c r="I63" s="71">
        <v>1.8</v>
      </c>
      <c r="J63" s="71">
        <v>2.58</v>
      </c>
      <c r="K63" s="71">
        <v>0.73</v>
      </c>
      <c r="L63" s="71">
        <v>12.2</v>
      </c>
      <c r="M63" s="228">
        <f t="shared" si="20"/>
        <v>2.6149022497641163</v>
      </c>
      <c r="N63" s="228">
        <f t="shared" si="20"/>
        <v>2.8080780436501218</v>
      </c>
      <c r="O63" s="228">
        <f t="shared" si="20"/>
        <v>3.0155246911968541</v>
      </c>
      <c r="P63" s="229">
        <f t="shared" si="20"/>
        <v>3.2382964511191812</v>
      </c>
    </row>
    <row r="64" spans="2:35" ht="14.4" customHeight="1" x14ac:dyDescent="0.3">
      <c r="B64" s="134" t="s">
        <v>153</v>
      </c>
      <c r="C64" s="96"/>
      <c r="D64" s="96"/>
      <c r="E64" s="201"/>
      <c r="F64" s="224">
        <v>102.3</v>
      </c>
      <c r="G64" s="224">
        <v>91.63</v>
      </c>
      <c r="H64" s="224">
        <f>SUM(H58:H63)</f>
        <v>95.41</v>
      </c>
      <c r="I64" s="224">
        <f>SUM(I58:I63)</f>
        <v>144.45000000000002</v>
      </c>
      <c r="J64" s="224">
        <f>SUM(J58:J63)</f>
        <v>205.17</v>
      </c>
      <c r="K64" s="224">
        <f>SUM(K58:K63)</f>
        <v>227.01999999999998</v>
      </c>
      <c r="L64" s="224">
        <f>SUM(L58:L63)</f>
        <v>195.41</v>
      </c>
      <c r="M64" s="230">
        <f>L64*(1+$M$65)</f>
        <v>209.84590554357032</v>
      </c>
      <c r="N64" s="230">
        <f>M64*(1+$M$65)</f>
        <v>225.34826300292227</v>
      </c>
      <c r="O64" s="230">
        <f>N64*(1+$M$65)</f>
        <v>241.99585646854754</v>
      </c>
      <c r="P64" s="231">
        <f>O64*(1+$M$65)</f>
        <v>259.87329020231431</v>
      </c>
    </row>
    <row r="65" spans="2:22" ht="14.4" customHeight="1" x14ac:dyDescent="0.3">
      <c r="B65" s="208" t="s">
        <v>155</v>
      </c>
      <c r="C65" s="209"/>
      <c r="D65" s="209"/>
      <c r="E65" s="210"/>
      <c r="F65" s="211">
        <v>0</v>
      </c>
      <c r="G65" s="211">
        <f t="shared" ref="G65:L65" si="21">G64/F64-1</f>
        <v>-0.10430107526881727</v>
      </c>
      <c r="H65" s="211">
        <f t="shared" si="21"/>
        <v>4.1252864782276522E-2</v>
      </c>
      <c r="I65" s="211">
        <f t="shared" si="21"/>
        <v>0.51399224399958099</v>
      </c>
      <c r="J65" s="211">
        <f t="shared" si="21"/>
        <v>0.42035306334371736</v>
      </c>
      <c r="K65" s="211">
        <f t="shared" si="21"/>
        <v>0.10649705122581277</v>
      </c>
      <c r="L65" s="211">
        <f t="shared" si="21"/>
        <v>-0.1392388335829442</v>
      </c>
      <c r="M65" s="468">
        <f>MEDIAN(G65:L65)</f>
        <v>7.3874958004044644E-2</v>
      </c>
      <c r="O65" s="40"/>
      <c r="P65" s="100"/>
      <c r="R65" s="40"/>
      <c r="S65" s="40"/>
      <c r="T65" s="40"/>
      <c r="U65" s="40"/>
    </row>
    <row r="66" spans="2:22" ht="5.4" customHeight="1" x14ac:dyDescent="0.3">
      <c r="B66" s="206"/>
      <c r="C66" s="206"/>
      <c r="D66" s="206"/>
      <c r="E66" s="206"/>
      <c r="F66" s="207"/>
      <c r="G66" s="192"/>
      <c r="H66" s="192"/>
      <c r="I66" s="192"/>
      <c r="J66" s="192"/>
      <c r="K66" s="192"/>
      <c r="L66" s="192"/>
      <c r="M66" s="192"/>
      <c r="O66" s="40"/>
      <c r="P66" s="100"/>
      <c r="R66" s="40"/>
      <c r="S66" s="40"/>
      <c r="T66" s="40"/>
    </row>
    <row r="67" spans="2:22" ht="14.4" customHeight="1" x14ac:dyDescent="0.3">
      <c r="B67" s="7" t="s">
        <v>162</v>
      </c>
      <c r="E67" s="11"/>
      <c r="F67" s="167">
        <f t="shared" ref="F67:L72" si="22">F58/F$64</f>
        <v>0.147702834799609</v>
      </c>
      <c r="G67" s="167">
        <f t="shared" si="22"/>
        <v>0.10858889010149514</v>
      </c>
      <c r="H67" s="167">
        <f t="shared" si="22"/>
        <v>0.12105649303008072</v>
      </c>
      <c r="I67" s="167">
        <f t="shared" si="22"/>
        <v>0.29643475250951884</v>
      </c>
      <c r="J67" s="167">
        <f t="shared" si="22"/>
        <v>0.27996295754739975</v>
      </c>
      <c r="K67" s="167">
        <f t="shared" si="22"/>
        <v>0.2671570786714827</v>
      </c>
      <c r="L67" s="167">
        <f t="shared" si="22"/>
        <v>0.23233201985568805</v>
      </c>
      <c r="M67" s="464">
        <f t="shared" ref="M67:M72" si="23">MEDIAN(F67:L67)</f>
        <v>0.23233201985568805</v>
      </c>
      <c r="N67" s="4"/>
      <c r="O67" s="4"/>
      <c r="P67" s="4"/>
      <c r="R67" s="40"/>
      <c r="S67" s="40"/>
      <c r="T67" s="40"/>
      <c r="U67" s="40"/>
    </row>
    <row r="68" spans="2:22" ht="14.4" customHeight="1" x14ac:dyDescent="0.3">
      <c r="B68" s="7" t="s">
        <v>163</v>
      </c>
      <c r="E68" s="11"/>
      <c r="F68" s="167">
        <f t="shared" si="22"/>
        <v>0.18553274682306942</v>
      </c>
      <c r="G68" s="167">
        <f t="shared" si="22"/>
        <v>0.1173196551347812</v>
      </c>
      <c r="H68" s="167">
        <f t="shared" si="22"/>
        <v>0.18593438842888585</v>
      </c>
      <c r="I68" s="167">
        <f t="shared" si="22"/>
        <v>0.21813776393215645</v>
      </c>
      <c r="J68" s="167">
        <f t="shared" si="22"/>
        <v>0.14578154700979676</v>
      </c>
      <c r="K68" s="167">
        <f t="shared" si="22"/>
        <v>0.13901858867060171</v>
      </c>
      <c r="L68" s="167">
        <f t="shared" si="22"/>
        <v>9.6207972979888451E-2</v>
      </c>
      <c r="M68" s="467">
        <f t="shared" si="23"/>
        <v>0.14578154700979676</v>
      </c>
      <c r="N68" s="4"/>
    </row>
    <row r="69" spans="2:22" ht="14.4" customHeight="1" x14ac:dyDescent="0.3">
      <c r="B69" s="7" t="s">
        <v>164</v>
      </c>
      <c r="E69" s="11"/>
      <c r="F69" s="167">
        <f t="shared" si="22"/>
        <v>1.5542521994134898E-2</v>
      </c>
      <c r="G69" s="167">
        <f t="shared" si="22"/>
        <v>2.5319218596529521E-2</v>
      </c>
      <c r="H69" s="167">
        <f t="shared" si="22"/>
        <v>1.9390001048108167E-2</v>
      </c>
      <c r="I69" s="167">
        <f t="shared" si="22"/>
        <v>1.0661128418137763E-2</v>
      </c>
      <c r="J69" s="167">
        <f t="shared" si="22"/>
        <v>1.98859482380465E-2</v>
      </c>
      <c r="K69" s="167">
        <f t="shared" si="22"/>
        <v>1.5989780636067309E-2</v>
      </c>
      <c r="L69" s="167">
        <f t="shared" si="22"/>
        <v>1.6324650734353411E-2</v>
      </c>
      <c r="M69" s="467">
        <f t="shared" si="23"/>
        <v>1.6324650734353411E-2</v>
      </c>
      <c r="N69" s="23"/>
      <c r="V69" s="40"/>
    </row>
    <row r="70" spans="2:22" ht="14.4" customHeight="1" x14ac:dyDescent="0.3">
      <c r="B70" s="7" t="s">
        <v>165</v>
      </c>
      <c r="E70" s="11"/>
      <c r="F70" s="167">
        <f t="shared" si="22"/>
        <v>0.62961876832844577</v>
      </c>
      <c r="G70" s="167">
        <f t="shared" si="22"/>
        <v>0.62708719851576999</v>
      </c>
      <c r="H70" s="167">
        <f t="shared" si="22"/>
        <v>0.59459176186982499</v>
      </c>
      <c r="I70" s="167">
        <f t="shared" si="22"/>
        <v>0.44991346486673578</v>
      </c>
      <c r="J70" s="167">
        <f t="shared" si="22"/>
        <v>0.4364673197835941</v>
      </c>
      <c r="K70" s="167">
        <f t="shared" si="22"/>
        <v>0.47771121487093654</v>
      </c>
      <c r="L70" s="167">
        <f t="shared" si="22"/>
        <v>0.5693669720075738</v>
      </c>
      <c r="M70" s="467">
        <f t="shared" si="23"/>
        <v>0.5693669720075738</v>
      </c>
      <c r="N70" s="100"/>
      <c r="S70" s="40"/>
      <c r="T70" s="40"/>
      <c r="U70" s="40"/>
      <c r="V70" s="40"/>
    </row>
    <row r="71" spans="2:22" ht="14.4" customHeight="1" x14ac:dyDescent="0.3">
      <c r="B71" s="7" t="s">
        <v>166</v>
      </c>
      <c r="E71" s="11"/>
      <c r="F71" s="167">
        <f t="shared" si="22"/>
        <v>2.0332355816226784E-2</v>
      </c>
      <c r="G71" s="167">
        <f t="shared" si="22"/>
        <v>2.3463931026956236E-2</v>
      </c>
      <c r="H71" s="167">
        <f t="shared" si="22"/>
        <v>7.0432868672046955E-2</v>
      </c>
      <c r="I71" s="167">
        <f t="shared" si="22"/>
        <v>1.2391831083419867E-2</v>
      </c>
      <c r="J71" s="167">
        <f t="shared" si="22"/>
        <v>0.10532728956475118</v>
      </c>
      <c r="K71" s="167">
        <f t="shared" si="22"/>
        <v>9.6907761430710962E-2</v>
      </c>
      <c r="L71" s="167">
        <f t="shared" si="22"/>
        <v>2.3335550892994217E-2</v>
      </c>
      <c r="M71" s="467">
        <f t="shared" si="23"/>
        <v>2.3463931026956236E-2</v>
      </c>
      <c r="N71" s="100"/>
      <c r="S71" s="40"/>
      <c r="T71" s="40"/>
      <c r="U71" s="40"/>
    </row>
    <row r="72" spans="2:22" ht="13.8" customHeight="1" x14ac:dyDescent="0.3">
      <c r="B72" s="92" t="s">
        <v>167</v>
      </c>
      <c r="C72" s="74"/>
      <c r="D72" s="74"/>
      <c r="E72" s="75"/>
      <c r="F72" s="164">
        <f t="shared" si="22"/>
        <v>1.5640273704789834E-3</v>
      </c>
      <c r="G72" s="164">
        <f t="shared" si="22"/>
        <v>9.822110662446798E-2</v>
      </c>
      <c r="H72" s="164">
        <f t="shared" si="22"/>
        <v>8.5944869510533491E-3</v>
      </c>
      <c r="I72" s="164">
        <f t="shared" si="22"/>
        <v>1.2461059190031152E-2</v>
      </c>
      <c r="J72" s="164">
        <f t="shared" si="22"/>
        <v>1.2574937856411757E-2</v>
      </c>
      <c r="K72" s="164">
        <f t="shared" si="22"/>
        <v>3.2155757202008634E-3</v>
      </c>
      <c r="L72" s="164">
        <f t="shared" si="22"/>
        <v>6.2432833529502067E-2</v>
      </c>
      <c r="M72" s="467">
        <f t="shared" si="23"/>
        <v>1.2461059190031152E-2</v>
      </c>
      <c r="N72" s="4"/>
    </row>
    <row r="73" spans="2:22" ht="13.8" customHeight="1" x14ac:dyDescent="0.3">
      <c r="L73" s="205" t="s">
        <v>154</v>
      </c>
      <c r="M73" s="467">
        <f>ROUND(SUM(M67:M72),0)</f>
        <v>1</v>
      </c>
      <c r="Q73" s="4"/>
      <c r="S73" s="43"/>
      <c r="V73" s="40"/>
    </row>
    <row r="74" spans="2:22" ht="14.4" customHeight="1" x14ac:dyDescent="0.3">
      <c r="S74" s="40"/>
      <c r="T74" s="40"/>
      <c r="U74" s="40"/>
      <c r="V74" s="40"/>
    </row>
    <row r="75" spans="2:22" ht="14.4" customHeight="1" x14ac:dyDescent="0.3">
      <c r="S75" s="40"/>
      <c r="T75" s="40"/>
      <c r="U75" s="40"/>
    </row>
    <row r="76" spans="2:22" ht="14.4" customHeight="1" x14ac:dyDescent="0.3"/>
    <row r="77" spans="2:22" ht="14.4" customHeight="1" x14ac:dyDescent="0.3"/>
    <row r="78" spans="2:22" x14ac:dyDescent="0.3">
      <c r="F78" s="40"/>
      <c r="G78" s="40"/>
      <c r="H78" s="40"/>
      <c r="I78" s="40"/>
      <c r="J78" s="40"/>
      <c r="K78" s="40"/>
      <c r="L78" s="40"/>
    </row>
    <row r="82" spans="17:17" ht="4.8" customHeight="1" x14ac:dyDescent="0.3"/>
    <row r="83" spans="17:17" x14ac:dyDescent="0.3">
      <c r="Q83" s="4"/>
    </row>
    <row r="85" spans="17:17" ht="13.8" customHeight="1" x14ac:dyDescent="0.3"/>
    <row r="86" spans="17:17" ht="13.8" customHeight="1" x14ac:dyDescent="0.3"/>
    <row r="87" spans="17:17" ht="13.8" customHeight="1" x14ac:dyDescent="0.3"/>
    <row r="88" spans="17:17" ht="13.8" customHeight="1" x14ac:dyDescent="0.3"/>
    <row r="89" spans="17:17" ht="13.8" customHeight="1" x14ac:dyDescent="0.3"/>
  </sheetData>
  <mergeCells count="89">
    <mergeCell ref="V40:AJ40"/>
    <mergeCell ref="R3:W4"/>
    <mergeCell ref="B54:P54"/>
    <mergeCell ref="Y23:AJ23"/>
    <mergeCell ref="Y28:AJ28"/>
    <mergeCell ref="Y33:AJ33"/>
    <mergeCell ref="B21:AJ21"/>
    <mergeCell ref="Y34:AA34"/>
    <mergeCell ref="AB34:AD34"/>
    <mergeCell ref="AE34:AG34"/>
    <mergeCell ref="AH34:AJ34"/>
    <mergeCell ref="Y14:AA14"/>
    <mergeCell ref="AB14:AD14"/>
    <mergeCell ref="AE14:AG14"/>
    <mergeCell ref="AH14:AJ14"/>
    <mergeCell ref="Y8:AJ8"/>
    <mergeCell ref="AK34:AM34"/>
    <mergeCell ref="AN34:AP34"/>
    <mergeCell ref="AQ34:AS34"/>
    <mergeCell ref="AQ24:AS24"/>
    <mergeCell ref="Y29:AA29"/>
    <mergeCell ref="AB29:AD29"/>
    <mergeCell ref="AE29:AG29"/>
    <mergeCell ref="AH29:AJ29"/>
    <mergeCell ref="AK29:AM29"/>
    <mergeCell ref="AN29:AP29"/>
    <mergeCell ref="AQ29:AS29"/>
    <mergeCell ref="AB24:AD24"/>
    <mergeCell ref="AE24:AG24"/>
    <mergeCell ref="AH24:AJ24"/>
    <mergeCell ref="AK24:AM24"/>
    <mergeCell ref="AN24:AP24"/>
    <mergeCell ref="AN14:AP14"/>
    <mergeCell ref="AQ14:AS14"/>
    <mergeCell ref="Y13:AJ13"/>
    <mergeCell ref="Y9:AA9"/>
    <mergeCell ref="AB9:AD9"/>
    <mergeCell ref="AE9:AG9"/>
    <mergeCell ref="AH9:AJ9"/>
    <mergeCell ref="AK9:AM9"/>
    <mergeCell ref="AN9:AP9"/>
    <mergeCell ref="AQ9:AS9"/>
    <mergeCell ref="C2:F2"/>
    <mergeCell ref="C14:E14"/>
    <mergeCell ref="F14:H14"/>
    <mergeCell ref="I14:K14"/>
    <mergeCell ref="L14:N14"/>
    <mergeCell ref="C13:W13"/>
    <mergeCell ref="C8:W8"/>
    <mergeCell ref="C9:E9"/>
    <mergeCell ref="F9:H9"/>
    <mergeCell ref="I9:K9"/>
    <mergeCell ref="L9:N9"/>
    <mergeCell ref="O9:Q9"/>
    <mergeCell ref="R9:T9"/>
    <mergeCell ref="U9:W9"/>
    <mergeCell ref="U14:W14"/>
    <mergeCell ref="C29:E29"/>
    <mergeCell ref="F29:H29"/>
    <mergeCell ref="C33:W33"/>
    <mergeCell ref="C28:W28"/>
    <mergeCell ref="C24:E24"/>
    <mergeCell ref="F24:H24"/>
    <mergeCell ref="I24:K24"/>
    <mergeCell ref="L24:N24"/>
    <mergeCell ref="O24:Q24"/>
    <mergeCell ref="Y24:AA24"/>
    <mergeCell ref="B40:P40"/>
    <mergeCell ref="R34:T34"/>
    <mergeCell ref="C34:E34"/>
    <mergeCell ref="F34:H34"/>
    <mergeCell ref="R24:T24"/>
    <mergeCell ref="U34:W34"/>
    <mergeCell ref="I29:K29"/>
    <mergeCell ref="L29:N29"/>
    <mergeCell ref="O29:Q29"/>
    <mergeCell ref="R29:T29"/>
    <mergeCell ref="U29:W29"/>
    <mergeCell ref="I34:K34"/>
    <mergeCell ref="L34:N34"/>
    <mergeCell ref="O34:Q34"/>
    <mergeCell ref="U24:W24"/>
    <mergeCell ref="AJ3:AK3"/>
    <mergeCell ref="AJ4:AK4"/>
    <mergeCell ref="O14:Q14"/>
    <mergeCell ref="R14:T14"/>
    <mergeCell ref="C23:W23"/>
    <mergeCell ref="B6:AJ6"/>
    <mergeCell ref="AK14:AM1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73011-E651-469D-BC7C-4B1551018DA7}">
  <sheetPr codeName="Sheet5"/>
  <dimension ref="B2:AA64"/>
  <sheetViews>
    <sheetView showGridLines="0" zoomScale="63" zoomScaleNormal="80" workbookViewId="0">
      <selection activeCell="J21" sqref="J21"/>
    </sheetView>
  </sheetViews>
  <sheetFormatPr defaultRowHeight="14.4" x14ac:dyDescent="0.3"/>
  <cols>
    <col min="1" max="1" width="3" customWidth="1"/>
    <col min="3" max="4" width="1.77734375" customWidth="1"/>
    <col min="5" max="5" width="13.44140625" customWidth="1"/>
    <col min="6" max="6" width="8.77734375" customWidth="1"/>
    <col min="7" max="7" width="16.109375" customWidth="1"/>
    <col min="8" max="8" width="1.77734375" customWidth="1"/>
    <col min="9" max="9" width="11.21875" customWidth="1"/>
    <col min="10" max="15" width="12.33203125" customWidth="1"/>
    <col min="16" max="16" width="12" customWidth="1"/>
    <col min="17" max="17" width="13.6640625" customWidth="1"/>
    <col min="18" max="18" width="14.88671875" customWidth="1"/>
    <col min="19" max="22" width="12.33203125" customWidth="1"/>
    <col min="23" max="27" width="9.88671875" bestFit="1" customWidth="1"/>
  </cols>
  <sheetData>
    <row r="2" spans="2:27" x14ac:dyDescent="0.3">
      <c r="G2" s="516" t="s">
        <v>34</v>
      </c>
      <c r="H2" s="516"/>
      <c r="I2" s="516"/>
      <c r="J2" s="516"/>
      <c r="K2" s="516"/>
      <c r="L2" t="s">
        <v>71</v>
      </c>
    </row>
    <row r="3" spans="2:27" x14ac:dyDescent="0.3">
      <c r="G3" s="17" t="s">
        <v>326</v>
      </c>
      <c r="H3" s="17"/>
    </row>
    <row r="4" spans="2:27" ht="18" x14ac:dyDescent="0.3">
      <c r="G4" s="572">
        <v>2649.4</v>
      </c>
      <c r="H4" s="572"/>
      <c r="I4" s="572"/>
      <c r="J4" s="42"/>
    </row>
    <row r="5" spans="2:27" ht="18.600000000000001" thickBot="1" x14ac:dyDescent="0.35">
      <c r="G5" s="240" t="s">
        <v>272</v>
      </c>
      <c r="H5" s="239"/>
      <c r="I5" s="239"/>
      <c r="J5" s="42"/>
      <c r="K5" s="100"/>
      <c r="L5" s="100"/>
      <c r="M5" s="100"/>
      <c r="N5" s="100"/>
      <c r="O5" s="100"/>
      <c r="P5" s="100"/>
    </row>
    <row r="6" spans="2:27" ht="22.2" thickTop="1" thickBot="1" x14ac:dyDescent="0.45">
      <c r="B6" s="523" t="s">
        <v>300</v>
      </c>
      <c r="C6" s="523"/>
      <c r="D6" s="523"/>
      <c r="E6" s="523"/>
      <c r="F6" s="523"/>
      <c r="G6" s="523"/>
      <c r="H6" s="523"/>
      <c r="I6" s="523"/>
      <c r="J6" s="523"/>
      <c r="K6" s="523"/>
      <c r="L6" s="523"/>
      <c r="M6" s="523"/>
      <c r="N6" s="523"/>
      <c r="O6" s="523"/>
      <c r="P6" s="523"/>
      <c r="Q6" s="523"/>
      <c r="R6" s="523"/>
      <c r="S6" s="523"/>
      <c r="T6" s="523"/>
      <c r="U6" s="523"/>
      <c r="V6" s="523"/>
    </row>
    <row r="7" spans="2:27" ht="5.4" customHeight="1" thickTop="1" x14ac:dyDescent="0.4">
      <c r="B7" s="373"/>
      <c r="C7" s="373"/>
      <c r="D7" s="373"/>
      <c r="E7" s="373"/>
      <c r="F7" s="373"/>
      <c r="G7" s="373"/>
      <c r="H7" s="373"/>
      <c r="I7" s="373"/>
      <c r="J7" s="373"/>
      <c r="K7" s="373"/>
      <c r="L7" s="373"/>
      <c r="M7" s="373"/>
      <c r="N7" s="373"/>
      <c r="O7" s="373"/>
      <c r="P7" s="373"/>
      <c r="Q7" s="373"/>
      <c r="R7" s="373"/>
      <c r="S7" s="1"/>
    </row>
    <row r="8" spans="2:27" ht="14.4" customHeight="1" thickBot="1" x14ac:dyDescent="0.35">
      <c r="B8" s="13"/>
      <c r="C8" s="417"/>
      <c r="D8" s="417"/>
      <c r="E8" s="417"/>
      <c r="F8" s="417"/>
      <c r="G8" s="418"/>
      <c r="H8" s="565" t="s">
        <v>299</v>
      </c>
      <c r="I8" s="566"/>
      <c r="J8" s="566"/>
      <c r="K8" s="566"/>
      <c r="L8" s="566"/>
      <c r="M8" s="566"/>
      <c r="N8" s="566"/>
      <c r="O8" s="597"/>
      <c r="P8" s="92"/>
      <c r="Q8" s="74"/>
      <c r="R8" s="75"/>
      <c r="S8" s="596" t="s">
        <v>21</v>
      </c>
      <c r="T8" s="517"/>
      <c r="U8" s="517"/>
      <c r="V8" s="518"/>
    </row>
    <row r="9" spans="2:27" ht="14.4" customHeight="1" thickTop="1" x14ac:dyDescent="0.3">
      <c r="B9" s="14" t="s">
        <v>18</v>
      </c>
      <c r="C9" s="15"/>
      <c r="D9" s="15"/>
      <c r="E9" s="15"/>
      <c r="F9" s="15"/>
      <c r="G9" s="21"/>
      <c r="H9" s="15"/>
      <c r="I9" s="29">
        <f>J9-1</f>
        <v>20</v>
      </c>
      <c r="J9" s="29">
        <v>21</v>
      </c>
      <c r="K9" s="29">
        <f>J9+1</f>
        <v>22</v>
      </c>
      <c r="L9" s="29">
        <f>K9+1</f>
        <v>23</v>
      </c>
      <c r="M9" s="29">
        <f>L9+1</f>
        <v>24</v>
      </c>
      <c r="N9" s="29">
        <f>M9+1</f>
        <v>25</v>
      </c>
      <c r="O9" s="29">
        <f>N9+1</f>
        <v>26</v>
      </c>
      <c r="P9" s="127" t="s">
        <v>235</v>
      </c>
      <c r="Q9" s="125" t="s">
        <v>114</v>
      </c>
      <c r="R9" s="126" t="s">
        <v>115</v>
      </c>
      <c r="S9" s="430">
        <f>O9+1</f>
        <v>27</v>
      </c>
      <c r="T9" s="30">
        <f>S9+1</f>
        <v>28</v>
      </c>
      <c r="U9" s="30">
        <f>T9+1</f>
        <v>29</v>
      </c>
      <c r="V9" s="31">
        <f>U9+1</f>
        <v>30</v>
      </c>
    </row>
    <row r="10" spans="2:27" ht="6.6" customHeight="1" x14ac:dyDescent="0.3">
      <c r="B10" s="69"/>
      <c r="C10" s="16"/>
      <c r="D10" s="16"/>
      <c r="E10" s="16"/>
      <c r="F10" s="16"/>
      <c r="G10" s="34"/>
      <c r="H10" s="16"/>
      <c r="I10" s="16"/>
      <c r="J10" s="16"/>
      <c r="K10" s="70"/>
      <c r="L10" s="70"/>
      <c r="M10" s="70"/>
      <c r="N10" s="70"/>
      <c r="O10" s="70"/>
      <c r="P10" s="7"/>
      <c r="Q10" s="124"/>
      <c r="R10" s="34"/>
      <c r="S10" s="7"/>
      <c r="V10" s="11"/>
    </row>
    <row r="11" spans="2:27" ht="13.8" customHeight="1" x14ac:dyDescent="0.3">
      <c r="B11" s="22" t="s">
        <v>103</v>
      </c>
      <c r="C11" s="1"/>
      <c r="D11" s="1"/>
      <c r="E11" s="1"/>
      <c r="F11" s="1"/>
      <c r="G11" s="78"/>
      <c r="H11" s="1"/>
      <c r="I11" s="87">
        <v>1666.5</v>
      </c>
      <c r="J11" s="87">
        <v>2537.4</v>
      </c>
      <c r="K11" s="88">
        <v>3079.95</v>
      </c>
      <c r="L11" s="88">
        <v>2761.65</v>
      </c>
      <c r="M11" s="88">
        <v>2846.75</v>
      </c>
      <c r="N11" s="88">
        <v>2340.65</v>
      </c>
      <c r="O11" s="88">
        <v>2165.1999999999998</v>
      </c>
      <c r="P11" s="7"/>
      <c r="Q11" s="120">
        <f>MEDIAN(I11:O11)</f>
        <v>2537.4</v>
      </c>
      <c r="R11" s="116">
        <f>AVERAGE(I11:O11)</f>
        <v>2485.4428571428571</v>
      </c>
      <c r="S11" s="431" t="s">
        <v>298</v>
      </c>
      <c r="T11" s="112" t="s">
        <v>298</v>
      </c>
      <c r="U11" s="112" t="s">
        <v>298</v>
      </c>
      <c r="V11" s="113" t="s">
        <v>298</v>
      </c>
      <c r="W11" s="479"/>
      <c r="X11" s="479"/>
      <c r="Y11" s="479"/>
      <c r="Z11" s="479"/>
      <c r="AA11" s="479"/>
    </row>
    <row r="12" spans="2:27" ht="7.8" customHeight="1" x14ac:dyDescent="0.3">
      <c r="B12" s="7"/>
      <c r="G12" s="11"/>
      <c r="K12" s="71"/>
      <c r="L12" s="71"/>
      <c r="M12" s="71"/>
      <c r="N12" s="71"/>
      <c r="O12" s="71"/>
      <c r="P12" s="7"/>
      <c r="Q12" s="120"/>
      <c r="R12" s="116"/>
      <c r="S12" s="7"/>
      <c r="V12" s="11"/>
    </row>
    <row r="13" spans="2:27" x14ac:dyDescent="0.3">
      <c r="B13" s="9" t="s">
        <v>100</v>
      </c>
      <c r="C13" s="90"/>
      <c r="D13" s="90"/>
      <c r="E13" s="90"/>
      <c r="F13" s="90"/>
      <c r="G13" s="98"/>
      <c r="H13" s="90"/>
      <c r="I13" s="90"/>
      <c r="J13" s="90"/>
      <c r="K13" s="128"/>
      <c r="L13" s="128"/>
      <c r="M13" s="128"/>
      <c r="N13" s="128"/>
      <c r="O13" s="128"/>
      <c r="P13" s="130"/>
      <c r="Q13" s="131"/>
      <c r="R13" s="132"/>
      <c r="S13" s="432"/>
      <c r="T13" s="128"/>
      <c r="U13" s="128"/>
      <c r="V13" s="129"/>
      <c r="X13" s="479"/>
      <c r="Y13" s="479"/>
      <c r="Z13" s="479"/>
      <c r="AA13" s="479"/>
    </row>
    <row r="14" spans="2:27" x14ac:dyDescent="0.3">
      <c r="B14" s="76" t="s">
        <v>76</v>
      </c>
      <c r="G14" s="11"/>
      <c r="I14" s="115">
        <v>0</v>
      </c>
      <c r="J14" s="115">
        <f>SOPL!J13/SOPL!I13-1</f>
        <v>7.4292287711052118E-2</v>
      </c>
      <c r="K14" s="115">
        <f>SOPL!K13/SOPL!J13-1</f>
        <v>0.34028284711453471</v>
      </c>
      <c r="L14" s="115">
        <f>SOPL!L13/SOPL!K13-1</f>
        <v>0.18512278497715573</v>
      </c>
      <c r="M14" s="115">
        <f>SOPL!M13/SOPL!L13-1</f>
        <v>2.9173126532571869E-2</v>
      </c>
      <c r="N14" s="115">
        <f>SOPL!N13/SOPL!M13-1</f>
        <v>-4.4770308155604899E-2</v>
      </c>
      <c r="O14" s="115">
        <f>SOPL!O13/SOPL!N13-1</f>
        <v>4.9487960992897317E-2</v>
      </c>
      <c r="P14" s="7"/>
      <c r="Q14" s="94">
        <f t="shared" ref="Q14:Q21" si="0">MEDIAN(I14:O14)</f>
        <v>4.9487960992897317E-2</v>
      </c>
      <c r="R14" s="93">
        <f t="shared" ref="R14:R21" si="1">AVERAGE(I14:O14)</f>
        <v>9.0512671310372411E-2</v>
      </c>
      <c r="S14" s="433">
        <f>SOPL!P13/SOPL!O13-1</f>
        <v>9.1370091807745579E-2</v>
      </c>
      <c r="T14" s="115">
        <f>SOPL!Q13/SOPL!P13-1</f>
        <v>9.1413823890707846E-2</v>
      </c>
      <c r="U14" s="115">
        <f>SOPL!R13/SOPL!Q13-1</f>
        <v>9.1451199140751172E-2</v>
      </c>
      <c r="V14" s="419">
        <f>SOPL!S13/SOPL!R13-1</f>
        <v>9.1483139204312502E-2</v>
      </c>
    </row>
    <row r="15" spans="2:27" x14ac:dyDescent="0.3">
      <c r="B15" s="76" t="s">
        <v>341</v>
      </c>
      <c r="C15" s="1"/>
      <c r="D15" s="1"/>
      <c r="E15" s="1"/>
      <c r="F15" s="1"/>
      <c r="G15" s="78"/>
      <c r="H15" s="1"/>
      <c r="I15" s="115">
        <v>0</v>
      </c>
      <c r="J15" s="115">
        <f>SOPL!J17/SOPL!I17-1</f>
        <v>6.2702376957445072E-2</v>
      </c>
      <c r="K15" s="115">
        <f>SOPL!K17/SOPL!J17-1</f>
        <v>0.51280499750769404</v>
      </c>
      <c r="L15" s="115">
        <f>SOPL!L17/SOPL!K17-1</f>
        <v>0.15604551726022176</v>
      </c>
      <c r="M15" s="115">
        <f>SOPL!M17/SOPL!L17-1</f>
        <v>-5.0400113440314032E-2</v>
      </c>
      <c r="N15" s="115">
        <f>SOPL!N17/SOPL!M17-1</f>
        <v>-2.8592533378197671E-2</v>
      </c>
      <c r="O15" s="115">
        <f>SOPL!O17/SOPL!N17-1</f>
        <v>2.4902924710157537E-2</v>
      </c>
      <c r="P15" s="7"/>
      <c r="Q15" s="94">
        <f t="shared" si="0"/>
        <v>2.4902924710157537E-2</v>
      </c>
      <c r="R15" s="93">
        <f t="shared" si="1"/>
        <v>9.6780452802429529E-2</v>
      </c>
      <c r="S15" s="433">
        <f>SOPL!P17/SOPL!O17-1</f>
        <v>0.12984109464673166</v>
      </c>
      <c r="T15" s="115">
        <f>SOPL!Q17/SOPL!P17-1</f>
        <v>9.1413823890707846E-2</v>
      </c>
      <c r="U15" s="115">
        <f>SOPL!R17/SOPL!Q17-1</f>
        <v>9.1451199140751172E-2</v>
      </c>
      <c r="V15" s="419">
        <f>SOPL!S17/SOPL!R17-1</f>
        <v>9.1483139204312502E-2</v>
      </c>
    </row>
    <row r="16" spans="2:27" ht="29.4" customHeight="1" x14ac:dyDescent="0.3">
      <c r="B16" s="600" t="s">
        <v>342</v>
      </c>
      <c r="C16" s="601"/>
      <c r="D16" s="601"/>
      <c r="E16" s="601"/>
      <c r="F16" s="601"/>
      <c r="G16" s="602"/>
      <c r="I16" s="480">
        <v>0</v>
      </c>
      <c r="J16" s="480">
        <f>SOPL!J22/SOPL!I22-1</f>
        <v>0.15507335291799551</v>
      </c>
      <c r="K16" s="480">
        <f>SOPL!K22/SOPL!J22-1</f>
        <v>4.8404136741198034E-3</v>
      </c>
      <c r="L16" s="480">
        <f>SOPL!L22/SOPL!K22-1</f>
        <v>0.28217732009676655</v>
      </c>
      <c r="M16" s="480">
        <f>SOPL!M22/SOPL!L22-1</f>
        <v>0.24473994631615659</v>
      </c>
      <c r="N16" s="480">
        <f>SOPL!N22/SOPL!M22-1</f>
        <v>-0.204778470531636</v>
      </c>
      <c r="O16" s="480">
        <f>SOPL!O22/SOPL!N22-1</f>
        <v>0.12781927458115527</v>
      </c>
      <c r="P16" s="7"/>
      <c r="Q16" s="481">
        <f t="shared" si="0"/>
        <v>0.12781927458115527</v>
      </c>
      <c r="R16" s="482">
        <f t="shared" si="1"/>
        <v>8.7124548150651099E-2</v>
      </c>
      <c r="S16" s="483">
        <f>SOPL!P22/SOPL!O22-1</f>
        <v>6.3955241609982449E-2</v>
      </c>
      <c r="T16" s="480">
        <f>SOPL!Q22/SOPL!P22-1</f>
        <v>8.2109363031772409E-2</v>
      </c>
      <c r="U16" s="480">
        <f>SOPL!R22/SOPL!Q22-1</f>
        <v>8.188312056239222E-2</v>
      </c>
      <c r="V16" s="484">
        <f>SOPL!S22/SOPL!R22-1</f>
        <v>8.1646083452300289E-2</v>
      </c>
    </row>
    <row r="17" spans="2:22" x14ac:dyDescent="0.3">
      <c r="B17" s="76" t="s">
        <v>343</v>
      </c>
      <c r="G17" s="11"/>
      <c r="I17" s="115">
        <v>0</v>
      </c>
      <c r="J17" s="115">
        <f>SOPL!J24/SOPL!I24-1</f>
        <v>0.18499123611480472</v>
      </c>
      <c r="K17" s="115">
        <f>SOPL!K24/SOPL!J24-1</f>
        <v>-2.7476427515327195E-5</v>
      </c>
      <c r="L17" s="115">
        <f>SOPL!L24/SOPL!K24-1</f>
        <v>0.32538479504311635</v>
      </c>
      <c r="M17" s="115">
        <f>SOPL!M24/SOPL!L24-1</f>
        <v>0.28188587322702663</v>
      </c>
      <c r="N17" s="115">
        <f>SOPL!N24/SOPL!M24-1</f>
        <v>-0.25168128044161986</v>
      </c>
      <c r="O17" s="115">
        <f>SOPL!O24/SOPL!N24-1</f>
        <v>0.1149738495230952</v>
      </c>
      <c r="P17" s="7"/>
      <c r="Q17" s="94">
        <f t="shared" si="0"/>
        <v>0.1149738495230952</v>
      </c>
      <c r="R17" s="93">
        <f t="shared" si="1"/>
        <v>9.3646713862701098E-2</v>
      </c>
      <c r="S17" s="433">
        <f>SOPL!P24/SOPL!O24-1</f>
        <v>5.9007677296480043E-2</v>
      </c>
      <c r="T17" s="115">
        <f>SOPL!Q24/SOPL!P24-1</f>
        <v>8.8973972665503442E-2</v>
      </c>
      <c r="U17" s="115">
        <f>SOPL!R24/SOPL!Q24-1</f>
        <v>8.7499448619382747E-2</v>
      </c>
      <c r="V17" s="419">
        <f>SOPL!S24/SOPL!R24-1</f>
        <v>8.622617534552135E-2</v>
      </c>
    </row>
    <row r="18" spans="2:22" x14ac:dyDescent="0.3">
      <c r="B18" s="76" t="s">
        <v>344</v>
      </c>
      <c r="G18" s="11"/>
      <c r="I18" s="115">
        <v>0</v>
      </c>
      <c r="J18" s="115">
        <f>SOPL!J28/SOPL!I28-1</f>
        <v>0.18446941240895076</v>
      </c>
      <c r="K18" s="115">
        <f>SOPL!K28/SOPL!J28-1</f>
        <v>-2.709584490108885E-2</v>
      </c>
      <c r="L18" s="115">
        <f>SOPL!L28/SOPL!K28-1</f>
        <v>0.35845519757767974</v>
      </c>
      <c r="M18" s="115">
        <f>SOPL!M28/SOPL!L28-1</f>
        <v>0.291613565531049</v>
      </c>
      <c r="N18" s="115">
        <f>SOPL!N28/SOPL!M28-1</f>
        <v>-0.30549404785397383</v>
      </c>
      <c r="O18" s="115">
        <f>SOPL!O28/SOPL!N28-1</f>
        <v>0.17643692914265263</v>
      </c>
      <c r="P18" s="7"/>
      <c r="Q18" s="94">
        <f t="shared" si="0"/>
        <v>0.17643692914265263</v>
      </c>
      <c r="R18" s="93">
        <f t="shared" si="1"/>
        <v>9.6912173129324208E-2</v>
      </c>
      <c r="S18" s="433">
        <f>SOPL!P28/SOPL!O28-1</f>
        <v>8.756293695219286E-2</v>
      </c>
      <c r="T18" s="115">
        <f>SOPL!Q28/SOPL!P28-1</f>
        <v>8.9875609064470119E-2</v>
      </c>
      <c r="U18" s="115">
        <f>SOPL!R28/SOPL!Q28-1</f>
        <v>8.839441124893721E-2</v>
      </c>
      <c r="V18" s="419">
        <f>SOPL!S28/SOPL!R28-1</f>
        <v>8.7118793468460076E-2</v>
      </c>
    </row>
    <row r="19" spans="2:22" x14ac:dyDescent="0.3">
      <c r="B19" s="76" t="s">
        <v>345</v>
      </c>
      <c r="C19" s="1"/>
      <c r="D19" s="1"/>
      <c r="E19" s="1"/>
      <c r="F19" s="1"/>
      <c r="G19" s="78"/>
      <c r="H19" s="1"/>
      <c r="I19" s="115">
        <v>0</v>
      </c>
      <c r="J19" s="115">
        <f>SOPL!J31/SOPL!I31-1</f>
        <v>0.15592299013405797</v>
      </c>
      <c r="K19" s="115">
        <f>SOPL!K31/SOPL!J31-1</f>
        <v>-3.8026038824355402E-2</v>
      </c>
      <c r="L19" s="115">
        <f>SOPL!L31/SOPL!K31-1</f>
        <v>0.35999623963874616</v>
      </c>
      <c r="M19" s="115">
        <f>SOPL!M31/SOPL!L31-1</f>
        <v>0.32473250018472855</v>
      </c>
      <c r="N19" s="115">
        <f>SOPL!N31/SOPL!M31-1</f>
        <v>-0.33250865017660092</v>
      </c>
      <c r="O19" s="115">
        <f>SOPL!O31/SOPL!N31-1</f>
        <v>0.18464516094249839</v>
      </c>
      <c r="P19" s="7"/>
      <c r="Q19" s="94">
        <f t="shared" si="0"/>
        <v>0.15592299013405797</v>
      </c>
      <c r="R19" s="93">
        <f t="shared" si="1"/>
        <v>9.3537457414153535E-2</v>
      </c>
      <c r="S19" s="433">
        <f>SOPL!P31/SOPL!O31-1</f>
        <v>8.756293695219286E-2</v>
      </c>
      <c r="T19" s="115">
        <f>SOPL!Q31/SOPL!P31-1</f>
        <v>8.9875609064470119E-2</v>
      </c>
      <c r="U19" s="115">
        <f>SOPL!R31/SOPL!Q31-1</f>
        <v>8.8394411248937432E-2</v>
      </c>
      <c r="V19" s="419">
        <f>SOPL!S31/SOPL!R31-1</f>
        <v>8.7118793468460076E-2</v>
      </c>
    </row>
    <row r="20" spans="2:22" x14ac:dyDescent="0.3">
      <c r="B20" s="76" t="s">
        <v>346</v>
      </c>
      <c r="C20" s="1"/>
      <c r="D20" s="1"/>
      <c r="E20" s="1"/>
      <c r="F20" s="1"/>
      <c r="G20" s="78"/>
      <c r="H20" s="1"/>
      <c r="I20" s="115">
        <v>0</v>
      </c>
      <c r="J20" s="115">
        <f>SOPL!J34/SOPL!I34-1</f>
        <v>0.16063829787234041</v>
      </c>
      <c r="K20" s="115">
        <f>SOPL!K34/SOPL!J34-1</f>
        <v>-3.483043079743342E-2</v>
      </c>
      <c r="L20" s="115">
        <f>SOPL!L34/SOPL!K34-1</f>
        <v>0.35580880025324468</v>
      </c>
      <c r="M20" s="115">
        <f>SOPL!M34/SOPL!L34-1</f>
        <v>0.3296754611253796</v>
      </c>
      <c r="N20" s="115">
        <f>SOPL!N34/SOPL!M34-1</f>
        <v>-0.32835820895522394</v>
      </c>
      <c r="O20" s="115">
        <f>SOPL!O34/SOPL!N34-1</f>
        <v>0.17960784313725475</v>
      </c>
      <c r="P20" s="7"/>
      <c r="Q20" s="94">
        <f t="shared" si="0"/>
        <v>0.16063829787234041</v>
      </c>
      <c r="R20" s="93">
        <f t="shared" si="1"/>
        <v>9.464882323365173E-2</v>
      </c>
      <c r="S20" s="433">
        <f>SOPL!P34/SOPL!O34-1</f>
        <v>8.7581055647504513E-2</v>
      </c>
      <c r="T20" s="115">
        <f>SOPL!Q34/SOPL!P34-1</f>
        <v>8.9875609064470341E-2</v>
      </c>
      <c r="U20" s="115">
        <f>SOPL!R34/SOPL!Q34-1</f>
        <v>8.839441124893721E-2</v>
      </c>
      <c r="V20" s="419">
        <f>SOPL!S34/SOPL!R34-1</f>
        <v>8.7118793468460076E-2</v>
      </c>
    </row>
    <row r="21" spans="2:22" x14ac:dyDescent="0.3">
      <c r="B21" s="76" t="s">
        <v>77</v>
      </c>
      <c r="G21" s="11"/>
      <c r="I21" s="115">
        <v>0</v>
      </c>
      <c r="J21" s="115">
        <f>SOPL!J35/SOPL!I35-1</f>
        <v>0.4874982624409232</v>
      </c>
      <c r="K21" s="115">
        <f>SOPL!K35/SOPL!J35-1</f>
        <v>7.2720582652423538E-2</v>
      </c>
      <c r="L21" s="115">
        <f>SOPL!L35/SOPL!K35-1</f>
        <v>0.378726833199033</v>
      </c>
      <c r="M21" s="115">
        <f>SOPL!M35/SOPL!L35-1</f>
        <v>0.26136525186788173</v>
      </c>
      <c r="N21" s="115">
        <f>SOPL!N35/SOPL!M35-1</f>
        <v>-0.25525573473841079</v>
      </c>
      <c r="O21" s="115">
        <f>SOPL!O35/SOPL!N35-1</f>
        <v>0.10886956083083565</v>
      </c>
      <c r="P21" s="7"/>
      <c r="Q21" s="94">
        <f t="shared" si="0"/>
        <v>0.10886956083083565</v>
      </c>
      <c r="R21" s="93">
        <f t="shared" si="1"/>
        <v>0.15056067946466947</v>
      </c>
      <c r="S21" s="433">
        <f>SOPL!P35/SOPL!O35-1</f>
        <v>8.1453509082403119E-2</v>
      </c>
      <c r="T21" s="115">
        <f>SOPL!Q35/SOPL!P35-1</f>
        <v>8.9875609064470341E-2</v>
      </c>
      <c r="U21" s="115">
        <f>SOPL!R35/SOPL!Q35-1</f>
        <v>8.839441124893721E-2</v>
      </c>
      <c r="V21" s="419">
        <f>SOPL!S35/SOPL!R35-1</f>
        <v>8.7118793468460298E-2</v>
      </c>
    </row>
    <row r="22" spans="2:22" x14ac:dyDescent="0.3">
      <c r="B22" s="7"/>
      <c r="G22" s="11"/>
      <c r="K22" s="71"/>
      <c r="L22" s="71"/>
      <c r="M22" s="71"/>
      <c r="N22" s="71"/>
      <c r="O22" s="32"/>
      <c r="P22" s="7"/>
      <c r="Q22" s="120"/>
      <c r="R22" s="116"/>
      <c r="S22" s="8"/>
      <c r="T22" s="32"/>
      <c r="U22" s="32"/>
      <c r="V22" s="420"/>
    </row>
    <row r="23" spans="2:22" x14ac:dyDescent="0.3">
      <c r="B23" s="10" t="s">
        <v>82</v>
      </c>
      <c r="C23" s="90"/>
      <c r="D23" s="90"/>
      <c r="E23" s="90"/>
      <c r="F23" s="90"/>
      <c r="G23" s="98"/>
      <c r="H23" s="90"/>
      <c r="I23" s="90"/>
      <c r="J23" s="90"/>
      <c r="K23" s="128"/>
      <c r="L23" s="128"/>
      <c r="M23" s="128"/>
      <c r="N23" s="128"/>
      <c r="O23" s="128"/>
      <c r="P23" s="130"/>
      <c r="Q23" s="131"/>
      <c r="R23" s="132"/>
      <c r="S23" s="432"/>
      <c r="T23" s="128"/>
      <c r="U23" s="128"/>
      <c r="V23" s="129"/>
    </row>
    <row r="24" spans="2:22" x14ac:dyDescent="0.3">
      <c r="B24" s="49" t="s">
        <v>83</v>
      </c>
      <c r="G24" s="11"/>
      <c r="I24" s="4">
        <f>'SOFP '!I33/('SOFP '!I61-'SOFP '!I60)</f>
        <v>1.8046463016001126</v>
      </c>
      <c r="J24" s="4">
        <f>'SOFP '!J33/('SOFP '!J61-'SOFP '!J60)</f>
        <v>2.0718977781529571</v>
      </c>
      <c r="K24" s="4">
        <f>'SOFP '!K33/('SOFP '!K61-'SOFP '!K60)</f>
        <v>2.0364201073290444</v>
      </c>
      <c r="L24" s="4">
        <f>'SOFP '!L33/('SOFP '!L61-'SOFP '!L60)</f>
        <v>2.1384695767332622</v>
      </c>
      <c r="M24" s="4">
        <f>'SOFP '!M33/('SOFP '!M61-'SOFP '!M60)</f>
        <v>2.0931150749840364</v>
      </c>
      <c r="N24" s="4">
        <f>'SOFP '!N33/('SOFP '!N61-'SOFP '!N60)</f>
        <v>2.1199400636542958</v>
      </c>
      <c r="O24" s="4">
        <f>'SOFP '!O33/('SOFP '!O61-'SOFP '!O60)</f>
        <v>2.2534994897856651</v>
      </c>
      <c r="P24" s="7"/>
      <c r="Q24" s="121">
        <f>MEDIAN(I24:O24)</f>
        <v>2.0931150749840364</v>
      </c>
      <c r="R24" s="117">
        <f>AVERAGE(I24:O24)</f>
        <v>2.073998341748482</v>
      </c>
      <c r="S24" s="434">
        <f>'SOFP '!P33/('SOFP '!P61-'SOFP '!P60)</f>
        <v>2.2681859436775413</v>
      </c>
      <c r="T24" s="4">
        <f>'SOFP '!Q33/('SOFP '!Q61-'SOFP '!Q60)</f>
        <v>2.323365903255171</v>
      </c>
      <c r="U24" s="4">
        <f>'SOFP '!R33/('SOFP '!R61-'SOFP '!R60)</f>
        <v>2.3716163540114379</v>
      </c>
      <c r="V24" s="421">
        <f>'SOFP '!S33/('SOFP '!S61-'SOFP '!S60)</f>
        <v>2.4140516896269943</v>
      </c>
    </row>
    <row r="25" spans="2:22" x14ac:dyDescent="0.3">
      <c r="B25" s="49" t="s">
        <v>84</v>
      </c>
      <c r="C25" s="1"/>
      <c r="D25" s="1"/>
      <c r="E25" s="1"/>
      <c r="F25" s="1"/>
      <c r="G25" s="78"/>
      <c r="H25" s="1"/>
      <c r="I25" s="4">
        <f>('SOFP '!I33-'SOFP '!I25-'SOFP '!I32)/('SOFP '!I61-'SOFP '!I60)</f>
        <v>0.99431235164856113</v>
      </c>
      <c r="J25" s="4">
        <f>('SOFP '!J33-'SOFP '!J25-'SOFP '!J32)/('SOFP '!J61-'SOFP '!J60)</f>
        <v>1.4151651354177615</v>
      </c>
      <c r="K25" s="82">
        <f>('SOFP '!K33-'SOFP '!K25-'SOFP '!K32)/('SOFP '!K61-'SOFP '!K60)</f>
        <v>1.2083884918965633</v>
      </c>
      <c r="L25" s="82">
        <f>('SOFP '!L33-'SOFP '!L25-'SOFP '!L32)/('SOFP '!L61-'SOFP '!L60)</f>
        <v>1.335256018954404</v>
      </c>
      <c r="M25" s="82">
        <f>('SOFP '!M33-'SOFP '!M25-'SOFP '!M32)/('SOFP '!M61-'SOFP '!M60)</f>
        <v>1.3861334733751469</v>
      </c>
      <c r="N25" s="82">
        <f>('SOFP '!N33-'SOFP '!N25-'SOFP '!N32)/('SOFP '!N61-'SOFP '!N60)</f>
        <v>1.2816209762238355</v>
      </c>
      <c r="O25" s="82">
        <f>('SOFP '!O33-'SOFP '!O25-'SOFP '!O32)/('SOFP '!O61-'SOFP '!O60)</f>
        <v>1.6122493865147114</v>
      </c>
      <c r="P25" s="7"/>
      <c r="Q25" s="121">
        <f>MEDIAN(I25:O25)</f>
        <v>1.335256018954404</v>
      </c>
      <c r="R25" s="117">
        <f>AVERAGE(I25:O25)</f>
        <v>1.3190179762901406</v>
      </c>
      <c r="S25" s="435">
        <f>('SOFP '!P33-'SOFP '!P25-'SOFP '!P32)/('SOFP '!P61-'SOFP '!P60)</f>
        <v>1.5946115768636138</v>
      </c>
      <c r="T25" s="82">
        <f>('SOFP '!Q33-'SOFP '!Q25-'SOFP '!Q32)/('SOFP '!Q61-'SOFP '!Q60)</f>
        <v>1.6453153122671575</v>
      </c>
      <c r="U25" s="82">
        <f>('SOFP '!R33-'SOFP '!R25-'SOFP '!R32)/('SOFP '!R61-'SOFP '!R60)</f>
        <v>1.6895950267503557</v>
      </c>
      <c r="V25" s="422">
        <f>('SOFP '!S33-'SOFP '!S25-'SOFP '!S32)/('SOFP '!S61-'SOFP '!S60)</f>
        <v>1.7285840412521405</v>
      </c>
    </row>
    <row r="26" spans="2:22" x14ac:dyDescent="0.3">
      <c r="B26" s="7"/>
      <c r="G26" s="11"/>
      <c r="P26" s="7"/>
      <c r="Q26" s="120"/>
      <c r="R26" s="116"/>
      <c r="S26" s="7"/>
      <c r="V26" s="11"/>
    </row>
    <row r="27" spans="2:22" x14ac:dyDescent="0.3">
      <c r="B27" s="10" t="s">
        <v>111</v>
      </c>
      <c r="C27" s="18"/>
      <c r="D27" s="18"/>
      <c r="E27" s="18"/>
      <c r="F27" s="476"/>
      <c r="G27" s="19"/>
      <c r="H27" s="18"/>
      <c r="I27" s="90"/>
      <c r="J27" s="90"/>
      <c r="K27" s="128"/>
      <c r="L27" s="128"/>
      <c r="M27" s="128"/>
      <c r="N27" s="128"/>
      <c r="O27" s="128"/>
      <c r="P27" s="130"/>
      <c r="Q27" s="131"/>
      <c r="R27" s="132"/>
      <c r="S27" s="432"/>
      <c r="T27" s="128"/>
      <c r="U27" s="128"/>
      <c r="V27" s="129"/>
    </row>
    <row r="28" spans="2:22" x14ac:dyDescent="0.3">
      <c r="B28" s="49" t="s">
        <v>85</v>
      </c>
      <c r="F28" s="477"/>
      <c r="G28" s="478" t="s">
        <v>110</v>
      </c>
      <c r="I28" s="83">
        <f>('SOFP '!I46+'SOFP '!I47)/'SOFP '!I41</f>
        <v>5.7773676650822267E-2</v>
      </c>
      <c r="J28" s="83">
        <f>('SOFP '!J46+'SOFP '!J47)/'SOFP '!J41</f>
        <v>4.3531897363020294E-2</v>
      </c>
      <c r="K28" s="83">
        <f>('SOFP '!K46+'SOFP '!K47)/'SOFP '!K41</f>
        <v>4.5278253747247178E-2</v>
      </c>
      <c r="L28" s="83">
        <f>('SOFP '!L46+'SOFP '!L47)/'SOFP '!L41</f>
        <v>4.8953872365679212E-2</v>
      </c>
      <c r="M28" s="83">
        <f>('SOFP '!M46+'SOFP '!M47)/'SOFP '!M41</f>
        <v>5.9189092901036265E-2</v>
      </c>
      <c r="N28" s="83">
        <f>('SOFP '!N46+'SOFP '!N47)/'SOFP '!N41</f>
        <v>6.8942447423980702E-2</v>
      </c>
      <c r="O28" s="83">
        <f>('SOFP '!O46+'SOFP '!O47)/'SOFP '!O41</f>
        <v>0.1160169121207469</v>
      </c>
      <c r="P28" s="7"/>
      <c r="Q28" s="122">
        <f>MEDIAN(I28:O28)</f>
        <v>5.7773676650822267E-2</v>
      </c>
      <c r="R28" s="118">
        <f>AVERAGE(I28:O28)</f>
        <v>6.2812307510361834E-2</v>
      </c>
      <c r="S28" s="436">
        <f>('SOFP '!P46+'SOFP '!P47)/'SOFP '!P41</f>
        <v>0.12127383411817631</v>
      </c>
      <c r="T28" s="83">
        <f>('SOFP '!Q46+'SOFP '!Q47)/'SOFP '!Q41</f>
        <v>0.12764326105820711</v>
      </c>
      <c r="U28" s="83">
        <f>('SOFP '!R46+'SOFP '!R47)/'SOFP '!R41</f>
        <v>0.13461807302725998</v>
      </c>
      <c r="V28" s="312">
        <f>('SOFP '!S46+'SOFP '!S47)/'SOFP '!S41</f>
        <v>0.14226290259520288</v>
      </c>
    </row>
    <row r="29" spans="2:22" x14ac:dyDescent="0.3">
      <c r="B29" s="49" t="s">
        <v>86</v>
      </c>
      <c r="G29" s="11"/>
      <c r="I29" s="83">
        <f>SOPL!I24/SOPL!I27</f>
        <v>36.016612918987583</v>
      </c>
      <c r="J29" s="83">
        <f>SOPL!J24/SOPL!J27</f>
        <v>47.663210738841002</v>
      </c>
      <c r="K29" s="84">
        <f>SOPL!K24/SOPL!K27</f>
        <v>45.773608636411275</v>
      </c>
      <c r="L29" s="83">
        <f>SOPL!L24/SOPL!L27</f>
        <v>40.071304949809623</v>
      </c>
      <c r="M29" s="84">
        <f>SOPL!M24/SOPL!M27</f>
        <v>36.164838914071247</v>
      </c>
      <c r="N29" s="84">
        <f>SOPL!N24/SOPL!N27</f>
        <v>24.458109417672471</v>
      </c>
      <c r="O29" s="84">
        <f>SOPL!O24/SOPL!O27</f>
        <v>31.681439025638404</v>
      </c>
      <c r="P29" s="7"/>
      <c r="Q29" s="122">
        <f>MEDIAN(I29:O29)</f>
        <v>36.164838914071247</v>
      </c>
      <c r="R29" s="118">
        <f>AVERAGE(I29:O29)</f>
        <v>37.404160657347369</v>
      </c>
      <c r="S29" s="437">
        <f>SOPL!P24/SOPL!P27</f>
        <v>31.242824786892019</v>
      </c>
      <c r="T29" s="84">
        <f>SOPL!Q24/SOPL!Q27</f>
        <v>31.682108584327306</v>
      </c>
      <c r="U29" s="84">
        <f>SOPL!R24/SOPL!R27</f>
        <v>32.084066547741948</v>
      </c>
      <c r="V29" s="423">
        <f>SOPL!S24/SOPL!S27</f>
        <v>32.453082769021663</v>
      </c>
    </row>
    <row r="30" spans="2:22" x14ac:dyDescent="0.3">
      <c r="B30" s="8"/>
      <c r="G30" s="11"/>
      <c r="I30" s="1"/>
      <c r="J30" s="1"/>
      <c r="K30" s="26"/>
      <c r="M30" s="26"/>
      <c r="N30" s="26"/>
      <c r="O30" s="26"/>
      <c r="P30" s="7"/>
      <c r="Q30" s="120"/>
      <c r="R30" s="116"/>
      <c r="S30" s="438"/>
      <c r="T30" s="26"/>
      <c r="U30" s="26"/>
      <c r="V30" s="73"/>
    </row>
    <row r="31" spans="2:22" x14ac:dyDescent="0.3">
      <c r="B31" s="9" t="s">
        <v>80</v>
      </c>
      <c r="C31" s="18"/>
      <c r="D31" s="18"/>
      <c r="E31" s="18"/>
      <c r="F31" s="18"/>
      <c r="G31" s="19"/>
      <c r="H31" s="18"/>
      <c r="I31" s="90"/>
      <c r="J31" s="90"/>
      <c r="K31" s="128"/>
      <c r="L31" s="90"/>
      <c r="M31" s="128"/>
      <c r="N31" s="128"/>
      <c r="O31" s="128"/>
      <c r="P31" s="130"/>
      <c r="Q31" s="131"/>
      <c r="R31" s="132"/>
      <c r="S31" s="432"/>
      <c r="T31" s="128"/>
      <c r="U31" s="128"/>
      <c r="V31" s="129"/>
    </row>
    <row r="32" spans="2:22" x14ac:dyDescent="0.3">
      <c r="B32" s="76" t="s">
        <v>340</v>
      </c>
      <c r="G32" s="11"/>
      <c r="I32" s="81">
        <f>SOPL!I18/SOPL!I13</f>
        <v>0.43677605294081262</v>
      </c>
      <c r="J32" s="81">
        <f>SOPL!J18/SOPL!J13</f>
        <v>0.44285234647412891</v>
      </c>
      <c r="K32" s="81">
        <f>SOPL!K18/SOPL!K13</f>
        <v>0.37113590879851333</v>
      </c>
      <c r="L32" s="81">
        <f>SOPL!L18/SOPL!L13</f>
        <v>0.38656523795260977</v>
      </c>
      <c r="M32" s="81">
        <f>SOPL!M18/SOPL!M13</f>
        <v>0.43399456764426714</v>
      </c>
      <c r="N32" s="81">
        <f>SOPL!N18/SOPL!N13</f>
        <v>0.42440869684730742</v>
      </c>
      <c r="O32" s="81">
        <f>SOPL!O18/SOPL!O13</f>
        <v>0.43789235135121468</v>
      </c>
      <c r="P32" s="7"/>
      <c r="Q32" s="94">
        <f t="shared" ref="Q32:Q39" si="2">MEDIAN(I32:O32)</f>
        <v>0.43399456764426714</v>
      </c>
      <c r="R32" s="93">
        <f t="shared" ref="R32:R39" si="3">AVERAGE(I32:O32)</f>
        <v>0.41908930885840767</v>
      </c>
      <c r="S32" s="439">
        <f>SOPL!P18/SOPL!P13</f>
        <v>0.41807795006854465</v>
      </c>
      <c r="T32" s="81">
        <f>SOPL!Q18/SOPL!Q13</f>
        <v>0.41807795006854459</v>
      </c>
      <c r="U32" s="81">
        <f>SOPL!R18/SOPL!R13</f>
        <v>0.41807795006854465</v>
      </c>
      <c r="V32" s="424">
        <f>SOPL!S18/SOPL!S13</f>
        <v>0.41807795006854459</v>
      </c>
    </row>
    <row r="33" spans="2:22" ht="28.8" customHeight="1" x14ac:dyDescent="0.3">
      <c r="B33" s="600" t="s">
        <v>339</v>
      </c>
      <c r="C33" s="601"/>
      <c r="D33" s="601"/>
      <c r="E33" s="601"/>
      <c r="F33" s="601"/>
      <c r="G33" s="602"/>
      <c r="H33" s="1"/>
      <c r="I33" s="485">
        <f>SOPL!I22/SOPL!I13</f>
        <v>0.22097000432927202</v>
      </c>
      <c r="J33" s="485">
        <f>SOPL!J22/SOPL!J13</f>
        <v>0.23758577317792878</v>
      </c>
      <c r="K33" s="485">
        <f>SOPL!K22/SOPL!K13</f>
        <v>0.17812343649488954</v>
      </c>
      <c r="L33" s="485">
        <f>SOPL!L22/SOPL!L13</f>
        <v>0.19271069069509653</v>
      </c>
      <c r="M33" s="485">
        <f>SOPL!M22/SOPL!M13</f>
        <v>0.23307516355244842</v>
      </c>
      <c r="N33" s="485">
        <f>SOPL!N22/SOPL!N13</f>
        <v>0.19403331954997444</v>
      </c>
      <c r="O33" s="485">
        <f>SOPL!O22/SOPL!O13</f>
        <v>0.20851551026120507</v>
      </c>
      <c r="P33" s="7"/>
      <c r="Q33" s="481">
        <f t="shared" si="2"/>
        <v>0.20851551026120507</v>
      </c>
      <c r="R33" s="482">
        <f t="shared" si="3"/>
        <v>0.20928769972297354</v>
      </c>
      <c r="S33" s="486">
        <f>SOPL!P22/SOPL!P13</f>
        <v>0.20327767066799027</v>
      </c>
      <c r="T33" s="485">
        <f>SOPL!Q22/SOPL!Q13</f>
        <v>0.20154469909586614</v>
      </c>
      <c r="U33" s="485">
        <f>SOPL!R22/SOPL!R13</f>
        <v>0.19977788119368314</v>
      </c>
      <c r="V33" s="487">
        <f>SOPL!S22/SOPL!S13</f>
        <v>0.19797737133262036</v>
      </c>
    </row>
    <row r="34" spans="2:22" x14ac:dyDescent="0.3">
      <c r="B34" s="76" t="s">
        <v>338</v>
      </c>
      <c r="G34" s="11"/>
      <c r="I34" s="81">
        <f>SOPL!I24/SOPL!I13</f>
        <v>0.18235289751994552</v>
      </c>
      <c r="J34" s="81">
        <f>SOPL!J24/SOPL!J13</f>
        <v>0.20114319716627854</v>
      </c>
      <c r="K34" s="81">
        <f>SOPL!K24/SOPL!K13</f>
        <v>0.15007106216633767</v>
      </c>
      <c r="L34" s="81">
        <f>SOPL!L24/SOPL!L13</f>
        <v>0.16783231787672384</v>
      </c>
      <c r="M34" s="81">
        <f>SOPL!M24/SOPL!M13</f>
        <v>0.20904342701015047</v>
      </c>
      <c r="N34" s="81">
        <f>SOPL!N24/SOPL!N13</f>
        <v>0.16376282162072259</v>
      </c>
      <c r="O34" s="81">
        <f>SOPL!O24/SOPL!O13</f>
        <v>0.17398128460518544</v>
      </c>
      <c r="P34" s="7"/>
      <c r="Q34" s="94">
        <f t="shared" si="2"/>
        <v>0.17398128460518544</v>
      </c>
      <c r="R34" s="93">
        <f t="shared" si="3"/>
        <v>0.17831242970933484</v>
      </c>
      <c r="S34" s="439">
        <f>SOPL!P24/SOPL!P13</f>
        <v>0.16882221483420684</v>
      </c>
      <c r="T34" s="81">
        <f>SOPL!Q24/SOPL!Q13</f>
        <v>0.16844481345015933</v>
      </c>
      <c r="U34" s="81">
        <f>SOPL!R24/SOPL!R13</f>
        <v>0.16783493562887192</v>
      </c>
      <c r="V34" s="424">
        <f>SOPL!S24/SOPL!S13</f>
        <v>0.16702658398407538</v>
      </c>
    </row>
    <row r="35" spans="2:22" x14ac:dyDescent="0.3">
      <c r="B35" s="76" t="s">
        <v>337</v>
      </c>
      <c r="G35" s="11"/>
      <c r="I35" s="81">
        <f>SOPL!I28/SOPL!I13</f>
        <v>0.1798003587111138</v>
      </c>
      <c r="J35" s="81">
        <f>SOPL!J28/SOPL!J13</f>
        <v>0.19824029984170624</v>
      </c>
      <c r="K35" s="81">
        <f>SOPL!K28/SOPL!K13</f>
        <v>0.1439015740888373</v>
      </c>
      <c r="L35" s="81">
        <f>SOPL!L28/SOPL!L13</f>
        <v>0.16494817561402189</v>
      </c>
      <c r="M35" s="81">
        <f>SOPL!M28/SOPL!M13</f>
        <v>0.20701016742485426</v>
      </c>
      <c r="N35" s="81">
        <f>SOPL!N28/SOPL!N13</f>
        <v>0.15050808685993661</v>
      </c>
      <c r="O35" s="81">
        <f>SOPL!O28/SOPL!O13</f>
        <v>0.16871396156762372</v>
      </c>
      <c r="P35" s="7"/>
      <c r="Q35" s="94">
        <f t="shared" si="2"/>
        <v>0.16871396156762372</v>
      </c>
      <c r="R35" s="93">
        <f t="shared" si="3"/>
        <v>0.17330323201544195</v>
      </c>
      <c r="S35" s="439">
        <f>SOPL!P28/SOPL!P13</f>
        <v>0.16812541678084311</v>
      </c>
      <c r="T35" s="81">
        <f>SOPL!Q28/SOPL!Q13</f>
        <v>0.16788846448731456</v>
      </c>
      <c r="U35" s="81">
        <f>SOPL!R28/SOPL!R13</f>
        <v>0.1674182653379398</v>
      </c>
      <c r="V35" s="424">
        <f>SOPL!S28/SOPL!S13</f>
        <v>0.16674883567275586</v>
      </c>
    </row>
    <row r="36" spans="2:22" x14ac:dyDescent="0.3">
      <c r="B36" s="76" t="s">
        <v>336</v>
      </c>
      <c r="G36" s="11"/>
      <c r="I36" s="81">
        <f>SOPL!I31/SOPL!I13</f>
        <v>0.13725969447708575</v>
      </c>
      <c r="J36" s="81">
        <f>SOPL!J31/SOPL!J13</f>
        <v>0.14768944939825795</v>
      </c>
      <c r="K36" s="81">
        <f>SOPL!K31/SOPL!K13</f>
        <v>0.10600255383955619</v>
      </c>
      <c r="L36" s="81">
        <f>SOPL!L31/SOPL!L13</f>
        <v>0.12164399878336572</v>
      </c>
      <c r="M36" s="81">
        <f>SOPL!M31/SOPL!M13</f>
        <v>0.15657789198565528</v>
      </c>
      <c r="N36" s="81">
        <f>SOPL!N31/SOPL!N13</f>
        <v>0.10941283480437769</v>
      </c>
      <c r="O36" s="81">
        <f>SOPL!O31/SOPL!O13</f>
        <v>0.12350345131484955</v>
      </c>
      <c r="P36" s="7"/>
      <c r="Q36" s="94">
        <f t="shared" si="2"/>
        <v>0.12350345131484955</v>
      </c>
      <c r="R36" s="93">
        <f t="shared" si="3"/>
        <v>0.12886998208616401</v>
      </c>
      <c r="S36" s="439">
        <f>SOPL!P31/SOPL!P13</f>
        <v>0.12307261967681919</v>
      </c>
      <c r="T36" s="81">
        <f>SOPL!Q31/SOPL!Q13</f>
        <v>0.12289916381237365</v>
      </c>
      <c r="U36" s="81">
        <f>SOPL!R31/SOPL!R13</f>
        <v>0.12255496456997832</v>
      </c>
      <c r="V36" s="424">
        <f>SOPL!S31/SOPL!S13</f>
        <v>0.12206492288466338</v>
      </c>
    </row>
    <row r="37" spans="2:22" x14ac:dyDescent="0.3">
      <c r="B37" s="76" t="s">
        <v>335</v>
      </c>
      <c r="G37" s="11"/>
      <c r="I37" s="295">
        <f>SOPL!I24*SOPL!I52/('SOFP '!I41-'SOFP '!I40)</f>
        <v>0.35477082530294363</v>
      </c>
      <c r="J37" s="81">
        <f>SOPL!J24*SOPL!J52/('SOFP '!J41-'SOFP '!J40)</f>
        <v>0.33385968702667862</v>
      </c>
      <c r="K37" s="81">
        <f>SOPL!K24*SOPL!K52/('SOFP '!K41-'SOFP '!K40)</f>
        <v>0.31064345886431172</v>
      </c>
      <c r="L37" s="81">
        <f>SOPL!L24*SOPL!L52/('SOFP '!L41-'SOFP '!L40)</f>
        <v>0.35427655781762202</v>
      </c>
      <c r="M37" s="81">
        <f>SOPL!M24*SOPL!M52/('SOFP '!M41-'SOFP '!M40)</f>
        <v>0.38924106658585395</v>
      </c>
      <c r="N37" s="81">
        <f>SOPL!N24*SOPL!N52/('SOFP '!N41-'SOFP '!N40)</f>
        <v>0.28293567749869281</v>
      </c>
      <c r="O37" s="81">
        <f>SOPL!O24*SOPL!O52/('SOFP '!O41-'SOFP '!O40)</f>
        <v>0.28510698709934312</v>
      </c>
      <c r="P37" s="7"/>
      <c r="Q37" s="94">
        <f t="shared" si="2"/>
        <v>0.33385968702667862</v>
      </c>
      <c r="R37" s="93">
        <f t="shared" si="3"/>
        <v>0.33011918002792084</v>
      </c>
      <c r="S37" s="439">
        <f>SOPL!P24*SOPL!P52/('SOFP '!P41-'SOFP '!P40)</f>
        <v>0.27857809121088506</v>
      </c>
      <c r="T37" s="81">
        <f>SOPL!Q24*SOPL!Q52/('SOFP '!Q41-'SOFP '!Q40)</f>
        <v>0.2797802366017183</v>
      </c>
      <c r="U37" s="81">
        <f>SOPL!R24*SOPL!R52/('SOFP '!R41-'SOFP '!R40)</f>
        <v>0.28052464557290785</v>
      </c>
      <c r="V37" s="424">
        <f>SOPL!S24*SOPL!S52/('SOFP '!S41-'SOFP '!S40)</f>
        <v>0.28089110224744207</v>
      </c>
    </row>
    <row r="38" spans="2:22" x14ac:dyDescent="0.3">
      <c r="B38" s="76" t="s">
        <v>334</v>
      </c>
      <c r="G38" s="11"/>
      <c r="I38" s="295">
        <f>SOPL!I32/('SOFP '!I38+'SOFP '!I39)</f>
        <v>0.26704119184692049</v>
      </c>
      <c r="J38" s="295">
        <f>SOPL!J32/('SOFP '!J38+'SOFP '!J39)</f>
        <v>0.24513656960759125</v>
      </c>
      <c r="K38" s="295">
        <f>SOPL!K32/('SOFP '!K38+'SOFP '!K39)</f>
        <v>0.21942271546443706</v>
      </c>
      <c r="L38" s="295">
        <f>SOPL!L32/('SOFP '!L38+'SOFP '!L39)</f>
        <v>0.25677782273016331</v>
      </c>
      <c r="M38" s="295">
        <f>SOPL!M32/('SOFP '!M38+'SOFP '!M39)</f>
        <v>0.29154968683756666</v>
      </c>
      <c r="N38" s="295">
        <f>SOPL!N32/('SOFP '!N38+'SOFP '!N39)</f>
        <v>0.18903432559391048</v>
      </c>
      <c r="O38" s="295">
        <f>SOPL!O32/('SOFP '!O38+'SOFP '!O39)</f>
        <v>0.2023878429260528</v>
      </c>
      <c r="P38" s="7"/>
      <c r="Q38" s="94">
        <f t="shared" si="2"/>
        <v>0.24513656960759125</v>
      </c>
      <c r="R38" s="93">
        <f t="shared" si="3"/>
        <v>0.23876430785809172</v>
      </c>
      <c r="S38" s="439">
        <f>SOPL!P32/('SOFP '!P38+'SOFP '!P39)</f>
        <v>0.20308545000171735</v>
      </c>
      <c r="T38" s="81">
        <f>SOPL!Q32/('SOFP '!Q38+'SOFP '!Q39)</f>
        <v>0.20413069672669532</v>
      </c>
      <c r="U38" s="81">
        <f>SOPL!R32/('SOFP '!R38+'SOFP '!R39)</f>
        <v>0.20484226284816032</v>
      </c>
      <c r="V38" s="424">
        <f>SOPL!S32/('SOFP '!S38+'SOFP '!S39)</f>
        <v>0.2052784048920685</v>
      </c>
    </row>
    <row r="39" spans="2:22" x14ac:dyDescent="0.3">
      <c r="B39" s="76" t="s">
        <v>333</v>
      </c>
      <c r="G39" s="11"/>
      <c r="I39" s="413">
        <f>SOPL!I31/'SOFP '!I34</f>
        <v>0.17172575035113463</v>
      </c>
      <c r="J39" s="100">
        <f>SOPL!J31/'SOFP '!J34</f>
        <v>0.15742807180497237</v>
      </c>
      <c r="K39" s="100">
        <f>SOPL!K31/'SOFP '!K34</f>
        <v>0.13421291351326656</v>
      </c>
      <c r="L39" s="100">
        <f>SOPL!L31/'SOFP '!L34</f>
        <v>0.16262229630203892</v>
      </c>
      <c r="M39" s="100">
        <f>SOPL!M31/'SOFP '!M34</f>
        <v>0.18572628273741981</v>
      </c>
      <c r="N39" s="100">
        <f>SOPL!N31/'SOFP '!N34</f>
        <v>0.12214496744796183</v>
      </c>
      <c r="O39" s="100">
        <f>SOPL!O31/'SOFP '!O34</f>
        <v>0.12725510062549064</v>
      </c>
      <c r="P39" s="7"/>
      <c r="Q39" s="94">
        <f t="shared" si="2"/>
        <v>0.15742807180497237</v>
      </c>
      <c r="R39" s="93">
        <f t="shared" si="3"/>
        <v>0.15158791182604067</v>
      </c>
      <c r="S39" s="397">
        <f>SOPL!P31/'SOFP '!P34</f>
        <v>0.12644032895782126</v>
      </c>
      <c r="T39" s="91">
        <f>SOPL!Q31/'SOFP '!Q34</f>
        <v>0.12669867622033709</v>
      </c>
      <c r="U39" s="91">
        <f>SOPL!R31/'SOFP '!R34</f>
        <v>0.12667240312771522</v>
      </c>
      <c r="V39" s="101">
        <f>SOPL!S31/'SOFP '!S34</f>
        <v>0.12639149934143029</v>
      </c>
    </row>
    <row r="40" spans="2:22" x14ac:dyDescent="0.3">
      <c r="B40" s="92"/>
      <c r="H40" s="92"/>
      <c r="P40" s="92"/>
      <c r="Q40" s="92"/>
      <c r="R40" s="150"/>
      <c r="S40" s="7"/>
      <c r="V40" s="11"/>
    </row>
    <row r="41" spans="2:22" x14ac:dyDescent="0.3">
      <c r="B41" s="9" t="s">
        <v>87</v>
      </c>
      <c r="C41" s="90"/>
      <c r="D41" s="90"/>
      <c r="E41" s="90"/>
      <c r="F41" s="90"/>
      <c r="G41" s="98"/>
      <c r="H41" s="90"/>
      <c r="I41" s="90"/>
      <c r="J41" s="90"/>
      <c r="K41" s="90"/>
      <c r="L41" s="90"/>
      <c r="M41" s="90"/>
      <c r="N41" s="90"/>
      <c r="O41" s="90"/>
      <c r="P41" s="130"/>
      <c r="Q41" s="131"/>
      <c r="R41" s="429"/>
      <c r="S41" s="130"/>
      <c r="T41" s="90"/>
      <c r="U41" s="90"/>
      <c r="V41" s="98"/>
    </row>
    <row r="42" spans="2:22" x14ac:dyDescent="0.3">
      <c r="B42" s="76" t="s">
        <v>81</v>
      </c>
      <c r="G42" s="11"/>
      <c r="I42" s="296">
        <f>SOPL!I13/'SOFP '!I34</f>
        <v>1.2511010679817787</v>
      </c>
      <c r="J42" s="390">
        <f>SOPL!J13/'SOFP '!J34</f>
        <v>1.0659398653484946</v>
      </c>
      <c r="K42" s="390">
        <f>SOPL!K13/'SOFP '!K34</f>
        <v>1.2661290568188492</v>
      </c>
      <c r="L42" s="390">
        <f>SOPL!L13/'SOFP '!L34</f>
        <v>1.3368706876502057</v>
      </c>
      <c r="M42" s="390">
        <f>SOPL!M13/'SOFP '!M34</f>
        <v>1.1861590444354364</v>
      </c>
      <c r="N42" s="390">
        <f>SOPL!N13/'SOFP '!N34</f>
        <v>1.1163678161373689</v>
      </c>
      <c r="O42" s="390">
        <f>SOPL!O13/'SOFP '!O34</f>
        <v>1.0303768783034004</v>
      </c>
      <c r="P42" s="7"/>
      <c r="Q42" s="122">
        <f>MEDIAN(I42:O42)</f>
        <v>1.1861590444354364</v>
      </c>
      <c r="R42" s="118">
        <f>AVERAGE(I42:O42)</f>
        <v>1.1789920595250762</v>
      </c>
      <c r="S42" s="440">
        <f>SOPL!P13/'SOFP '!P34</f>
        <v>1.0273635946796733</v>
      </c>
      <c r="T42" s="390">
        <f>SOPL!Q13/'SOFP '!Q34</f>
        <v>1.0309156896605418</v>
      </c>
      <c r="U42" s="390">
        <f>SOPL!R13/'SOFP '!R34</f>
        <v>1.0335966688267928</v>
      </c>
      <c r="V42" s="425">
        <f>SOPL!S13/'SOFP '!S34</f>
        <v>1.0354448792865334</v>
      </c>
    </row>
    <row r="43" spans="2:22" x14ac:dyDescent="0.3">
      <c r="B43" s="76" t="s">
        <v>263</v>
      </c>
      <c r="G43" s="11"/>
      <c r="I43" s="83">
        <f>SOPL!I13/('SOFP '!I33-'SOFP '!I61)</f>
        <v>6.3165485837867559</v>
      </c>
      <c r="J43" s="83">
        <f>SOPL!J13/('SOFP '!J33-'SOFP '!J61)</f>
        <v>3.5590420178535718</v>
      </c>
      <c r="K43" s="83">
        <f>SOPL!K13/('SOFP '!K33-'SOFP '!K61)</f>
        <v>3.8384391561608853</v>
      </c>
      <c r="L43" s="83">
        <f>SOPL!L13/('SOFP '!L33-'SOFP '!L61)</f>
        <v>3.9920907303081417</v>
      </c>
      <c r="M43" s="83">
        <f>SOPL!M13/('SOFP '!M33-'SOFP '!M61)</f>
        <v>3.9281028319739706</v>
      </c>
      <c r="N43" s="83">
        <f>SOPL!N13/('SOFP '!N33-'SOFP '!N61)</f>
        <v>3.830961694473257</v>
      </c>
      <c r="O43" s="83">
        <f>SOPL!O13/('SOFP '!O33-'SOFP '!O61)</f>
        <v>3.2209265171380963</v>
      </c>
      <c r="P43" s="7"/>
      <c r="Q43" s="122">
        <f>MEDIAN(I43:O43)</f>
        <v>3.8384391561608853</v>
      </c>
      <c r="R43" s="118">
        <f>AVERAGE(I43:O43)</f>
        <v>4.0980159330992398</v>
      </c>
      <c r="S43" s="436">
        <f>SOPL!P13/('SOFP '!P33-'SOFP '!P61)</f>
        <v>3.115666216758108</v>
      </c>
      <c r="T43" s="83">
        <f>SOPL!Q13/('SOFP '!Q33-'SOFP '!Q61)</f>
        <v>3.0061314698147354</v>
      </c>
      <c r="U43" s="83">
        <f>SOPL!R13/('SOFP '!R33-'SOFP '!R61)</f>
        <v>2.9181882194151645</v>
      </c>
      <c r="V43" s="312">
        <f>SOPL!S13/('SOFP '!S33-'SOFP '!S61)</f>
        <v>2.8459541703021602</v>
      </c>
    </row>
    <row r="44" spans="2:22" x14ac:dyDescent="0.3">
      <c r="B44" s="76" t="s">
        <v>88</v>
      </c>
      <c r="G44" s="11"/>
      <c r="I44" s="83">
        <f>SOPL!I17/'SOFP '!I25</f>
        <v>3.3581410167531516</v>
      </c>
      <c r="J44" s="83">
        <f>SOPL!J17/'SOFP '!J25</f>
        <v>3.1846548728478914</v>
      </c>
      <c r="K44" s="83">
        <f>SOPL!K17/'SOFP '!K25</f>
        <v>2.9742905063887743</v>
      </c>
      <c r="L44" s="83">
        <f>SOPL!L17/'SOFP '!L25</f>
        <v>3.40649272860768</v>
      </c>
      <c r="M44" s="83">
        <f>SOPL!M17/'SOFP '!M25</f>
        <v>3.3916629103843898</v>
      </c>
      <c r="N44" s="83">
        <f>SOPL!N17/'SOFP '!N25</f>
        <v>2.9044494416804203</v>
      </c>
      <c r="O44" s="83">
        <f>SOPL!O17/'SOFP '!O25</f>
        <v>3.4823919814613951</v>
      </c>
      <c r="P44" s="7"/>
      <c r="Q44" s="122">
        <f>MEDIAN(I44:O44)</f>
        <v>3.3581410167531516</v>
      </c>
      <c r="R44" s="118">
        <f>AVERAGE(I44:O44)</f>
        <v>3.2431547797319573</v>
      </c>
      <c r="S44" s="436">
        <f>SOPL!P17/'SOFP '!P25</f>
        <v>3.358141016753152</v>
      </c>
      <c r="T44" s="83">
        <f>SOPL!Q17/'SOFP '!Q25</f>
        <v>3.3581410167531516</v>
      </c>
      <c r="U44" s="83">
        <f>SOPL!R17/'SOFP '!R25</f>
        <v>3.3581410167531516</v>
      </c>
      <c r="V44" s="312">
        <f>SOPL!S17/'SOFP '!S25</f>
        <v>3.3581410167531516</v>
      </c>
    </row>
    <row r="45" spans="2:22" x14ac:dyDescent="0.3">
      <c r="B45" s="76" t="s">
        <v>89</v>
      </c>
      <c r="G45" s="11"/>
      <c r="I45" s="83">
        <f>SOPL!I13/'SOFP '!I27</f>
        <v>11.258369447755706</v>
      </c>
      <c r="J45" s="83">
        <f>SOPL!J13/'SOFP '!J27</f>
        <v>8.3441089552181449</v>
      </c>
      <c r="K45" s="83">
        <f>SOPL!K13/'SOFP '!K27</f>
        <v>7.5169136032070751</v>
      </c>
      <c r="L45" s="83">
        <f>SOPL!L13/'SOFP '!L27</f>
        <v>7.4377908707035258</v>
      </c>
      <c r="M45" s="83">
        <f>SOPL!M13/'SOFP '!M27</f>
        <v>7.2600464302880914</v>
      </c>
      <c r="N45" s="83">
        <f>SOPL!N13/'SOFP '!N27</f>
        <v>7.8600767331610131</v>
      </c>
      <c r="O45" s="83">
        <f>SOPL!O13/'SOFP '!O27</f>
        <v>7.9751535254829884</v>
      </c>
      <c r="P45" s="7"/>
      <c r="Q45" s="122">
        <f>MEDIAN(I45:O45)</f>
        <v>7.8600767331610131</v>
      </c>
      <c r="R45" s="118">
        <f>AVERAGE(I45:O45)</f>
        <v>8.2360656522595068</v>
      </c>
      <c r="S45" s="436">
        <f>SOPL!P13/'SOFP '!P27</f>
        <v>7.8600767331610122</v>
      </c>
      <c r="T45" s="83">
        <f>SOPL!Q13/'SOFP '!Q27</f>
        <v>7.8600767331610122</v>
      </c>
      <c r="U45" s="83">
        <f>SOPL!R13/'SOFP '!R27</f>
        <v>7.8600767331610131</v>
      </c>
      <c r="V45" s="312">
        <f>SOPL!S13/'SOFP '!S27</f>
        <v>7.8600767331610131</v>
      </c>
    </row>
    <row r="46" spans="2:22" x14ac:dyDescent="0.3">
      <c r="B46" s="76" t="s">
        <v>90</v>
      </c>
      <c r="G46" s="11"/>
      <c r="I46" s="83">
        <f>SUM(SOPL!I14:I15)/'SOFP '!I55</f>
        <v>5.4398451724024968</v>
      </c>
      <c r="J46" s="83">
        <f>SUM(SOPL!J14:J15)/'SOFP '!J55</f>
        <v>3.6077804612397593</v>
      </c>
      <c r="K46" s="83">
        <f>SUM(SOPL!K14:K15)/'SOFP '!K55</f>
        <v>4.7128496986288209</v>
      </c>
      <c r="L46" s="83">
        <f>SUM(SOPL!L14:L15)/'SOFP '!L55</f>
        <v>5.9047130471139679</v>
      </c>
      <c r="M46" s="83">
        <f>SUM(SOPL!M14:M15)/'SOFP '!M55</f>
        <v>5.1486973226077559</v>
      </c>
      <c r="N46" s="83">
        <f>SUM(SOPL!N14:N15)/'SOFP '!N55</f>
        <v>5.124942827442827</v>
      </c>
      <c r="O46" s="83">
        <f>SUM(SOPL!O14:O15)/'SOFP '!O55</f>
        <v>5.0214597829688534</v>
      </c>
      <c r="P46" s="7"/>
      <c r="Q46" s="122">
        <f>MEDIAN(I46:O46)</f>
        <v>5.124942827442827</v>
      </c>
      <c r="R46" s="118">
        <f>AVERAGE(I46:O46)</f>
        <v>4.9943269017720686</v>
      </c>
      <c r="S46" s="436">
        <f>SUM(SOPL!P14:P15)/'SOFP '!P55</f>
        <v>5.1249428274428261</v>
      </c>
      <c r="T46" s="83">
        <f>SUM(SOPL!Q14:Q15)/'SOFP '!Q55</f>
        <v>5.124942827442827</v>
      </c>
      <c r="U46" s="83">
        <f>SUM(SOPL!R14:R15)/'SOFP '!R55</f>
        <v>5.124942827442827</v>
      </c>
      <c r="V46" s="312">
        <f>SUM(SOPL!S14:S15)/'SOFP '!S55</f>
        <v>5.124942827442827</v>
      </c>
    </row>
    <row r="47" spans="2:22" ht="7.2" customHeight="1" x14ac:dyDescent="0.3">
      <c r="B47" s="76"/>
      <c r="G47" s="11"/>
      <c r="P47" s="7"/>
      <c r="Q47" s="120"/>
      <c r="R47" s="116"/>
      <c r="S47" s="7"/>
      <c r="V47" s="11"/>
    </row>
    <row r="48" spans="2:22" x14ac:dyDescent="0.3">
      <c r="B48" s="76" t="s">
        <v>93</v>
      </c>
      <c r="G48" s="11"/>
      <c r="I48" s="85">
        <f>$G$52/I44</f>
        <v>108.69108777120488</v>
      </c>
      <c r="J48" s="85">
        <f t="shared" ref="J48:O48" si="4">$G$52/J44</f>
        <v>114.61210541586793</v>
      </c>
      <c r="K48" s="85">
        <f>$G$52/K44</f>
        <v>122.71834214444763</v>
      </c>
      <c r="L48" s="85">
        <f t="shared" si="4"/>
        <v>107.14832793704062</v>
      </c>
      <c r="M48" s="85">
        <f t="shared" si="4"/>
        <v>107.6168268027064</v>
      </c>
      <c r="N48" s="85">
        <f t="shared" si="4"/>
        <v>125.66925585346834</v>
      </c>
      <c r="O48" s="85">
        <f t="shared" si="4"/>
        <v>104.81301414174139</v>
      </c>
      <c r="P48" s="7"/>
      <c r="Q48" s="137">
        <f>MEDIAN(I48:O48)</f>
        <v>108.69108777120488</v>
      </c>
      <c r="R48" s="138">
        <f>AVERAGE(I48:O48)</f>
        <v>113.03842286663961</v>
      </c>
      <c r="S48" s="441">
        <f t="shared" ref="S48:U50" si="5">$G$52/S44</f>
        <v>108.69108777120486</v>
      </c>
      <c r="T48" s="85">
        <f t="shared" si="5"/>
        <v>108.69108777120488</v>
      </c>
      <c r="U48" s="85">
        <f t="shared" si="5"/>
        <v>108.69108777120488</v>
      </c>
      <c r="V48" s="426">
        <f>$G$52/V44</f>
        <v>108.69108777120488</v>
      </c>
    </row>
    <row r="49" spans="2:22" x14ac:dyDescent="0.3">
      <c r="B49" s="76" t="s">
        <v>91</v>
      </c>
      <c r="G49" s="11"/>
      <c r="I49" s="85">
        <f t="shared" ref="I49:O49" si="6">$G$52/I45</f>
        <v>32.420325313872226</v>
      </c>
      <c r="J49" s="85">
        <f t="shared" si="6"/>
        <v>43.743436472235949</v>
      </c>
      <c r="K49" s="85">
        <f t="shared" si="6"/>
        <v>48.557163121347244</v>
      </c>
      <c r="L49" s="85">
        <f t="shared" si="6"/>
        <v>49.073711044725215</v>
      </c>
      <c r="M49" s="85">
        <f t="shared" si="6"/>
        <v>50.275160566089681</v>
      </c>
      <c r="N49" s="85">
        <f t="shared" si="6"/>
        <v>46.437205690384069</v>
      </c>
      <c r="O49" s="85">
        <f t="shared" si="6"/>
        <v>45.767144022208022</v>
      </c>
      <c r="P49" s="7"/>
      <c r="Q49" s="137">
        <f>MEDIAN(I49:O49)</f>
        <v>46.437205690384069</v>
      </c>
      <c r="R49" s="138">
        <f>AVERAGE(I49:O49)</f>
        <v>45.182020890123205</v>
      </c>
      <c r="S49" s="441">
        <f t="shared" si="5"/>
        <v>46.437205690384069</v>
      </c>
      <c r="T49" s="85">
        <f t="shared" si="5"/>
        <v>46.437205690384069</v>
      </c>
      <c r="U49" s="85">
        <f t="shared" si="5"/>
        <v>46.437205690384069</v>
      </c>
      <c r="V49" s="426">
        <f>$G$52/V45</f>
        <v>46.437205690384069</v>
      </c>
    </row>
    <row r="50" spans="2:22" x14ac:dyDescent="0.3">
      <c r="B50" s="76" t="s">
        <v>92</v>
      </c>
      <c r="G50" s="11"/>
      <c r="I50" s="85">
        <f t="shared" ref="I50:O50" si="7">$G$52/I46</f>
        <v>67.09749789419071</v>
      </c>
      <c r="J50" s="85">
        <f t="shared" si="7"/>
        <v>101.17023580602608</v>
      </c>
      <c r="K50" s="85">
        <f t="shared" si="7"/>
        <v>77.447833761003423</v>
      </c>
      <c r="L50" s="85">
        <f t="shared" si="7"/>
        <v>61.815027603822365</v>
      </c>
      <c r="M50" s="85">
        <f t="shared" si="7"/>
        <v>70.891718259936809</v>
      </c>
      <c r="N50" s="85">
        <f t="shared" si="7"/>
        <v>71.220306701864743</v>
      </c>
      <c r="O50" s="85">
        <f t="shared" si="7"/>
        <v>72.688026146890678</v>
      </c>
      <c r="P50" s="7"/>
      <c r="Q50" s="137">
        <f>MEDIAN(I50:O50)</f>
        <v>71.220306701864743</v>
      </c>
      <c r="R50" s="138">
        <f>AVERAGE(I50:O50)</f>
        <v>74.618663739104974</v>
      </c>
      <c r="S50" s="441">
        <f t="shared" si="5"/>
        <v>71.220306701864757</v>
      </c>
      <c r="T50" s="85">
        <f t="shared" si="5"/>
        <v>71.220306701864743</v>
      </c>
      <c r="U50" s="85">
        <f t="shared" si="5"/>
        <v>71.220306701864743</v>
      </c>
      <c r="V50" s="426">
        <f>$G$52/V46</f>
        <v>71.220306701864743</v>
      </c>
    </row>
    <row r="51" spans="2:22" ht="15" thickBot="1" x14ac:dyDescent="0.35">
      <c r="B51" s="76" t="s">
        <v>94</v>
      </c>
      <c r="G51" s="11"/>
      <c r="H51" s="7"/>
      <c r="I51" s="139">
        <f t="shared" ref="I51:O51" si="8">SUM(I48:I49)-I50</f>
        <v>74.013915190886408</v>
      </c>
      <c r="J51" s="139">
        <f t="shared" si="8"/>
        <v>57.185306082077801</v>
      </c>
      <c r="K51" s="139">
        <f t="shared" si="8"/>
        <v>93.827671504791468</v>
      </c>
      <c r="L51" s="139">
        <f t="shared" si="8"/>
        <v>94.407011377943462</v>
      </c>
      <c r="M51" s="139">
        <f t="shared" si="8"/>
        <v>87.000269108859285</v>
      </c>
      <c r="N51" s="139">
        <f t="shared" si="8"/>
        <v>100.88615484198768</v>
      </c>
      <c r="O51" s="139">
        <f t="shared" si="8"/>
        <v>77.892132017058742</v>
      </c>
      <c r="P51" s="7"/>
      <c r="Q51" s="137">
        <f>MEDIAN(I51:O51)</f>
        <v>87.000269108859285</v>
      </c>
      <c r="R51" s="138">
        <f>AVERAGE(I51:O51)</f>
        <v>83.601780017657831</v>
      </c>
      <c r="S51" s="442">
        <f>SUM(S48:S49)-S50</f>
        <v>83.907986759724167</v>
      </c>
      <c r="T51" s="139">
        <f>SUM(T48:T49)-T50</f>
        <v>83.90798675972421</v>
      </c>
      <c r="U51" s="139">
        <f>SUM(U48:U49)-U50</f>
        <v>83.90798675972421</v>
      </c>
      <c r="V51" s="427">
        <f>SUM(V48:V49)-V50</f>
        <v>83.90798675972421</v>
      </c>
    </row>
    <row r="52" spans="2:22" ht="15" thickTop="1" x14ac:dyDescent="0.3">
      <c r="B52" s="134" t="s">
        <v>102</v>
      </c>
      <c r="C52" s="96"/>
      <c r="D52" s="96"/>
      <c r="E52" s="96"/>
      <c r="F52" s="96"/>
      <c r="G52" s="135">
        <v>365</v>
      </c>
      <c r="H52" s="136"/>
      <c r="P52" s="7"/>
      <c r="Q52" s="120"/>
      <c r="R52" s="116"/>
      <c r="S52" s="7"/>
      <c r="V52" s="11"/>
    </row>
    <row r="53" spans="2:22" x14ac:dyDescent="0.3">
      <c r="B53" s="69"/>
      <c r="C53" s="16"/>
      <c r="D53" s="16"/>
      <c r="E53" s="16"/>
      <c r="F53" s="16"/>
      <c r="G53" s="34"/>
      <c r="P53" s="7"/>
      <c r="Q53" s="120"/>
      <c r="R53" s="116"/>
      <c r="S53" s="7"/>
      <c r="V53" s="11"/>
    </row>
    <row r="54" spans="2:22" x14ac:dyDescent="0.3">
      <c r="B54" s="133" t="s">
        <v>96</v>
      </c>
      <c r="C54" s="90"/>
      <c r="D54" s="90"/>
      <c r="E54" s="90"/>
      <c r="F54" s="90"/>
      <c r="G54" s="98"/>
      <c r="H54" s="90"/>
      <c r="I54" s="90"/>
      <c r="J54" s="90"/>
      <c r="K54" s="90"/>
      <c r="L54" s="90"/>
      <c r="M54" s="90"/>
      <c r="N54" s="90"/>
      <c r="O54" s="90"/>
      <c r="P54" s="130"/>
      <c r="Q54" s="131"/>
      <c r="R54" s="132"/>
      <c r="S54" s="130"/>
      <c r="T54" s="90"/>
      <c r="U54" s="90"/>
      <c r="V54" s="98"/>
    </row>
    <row r="55" spans="2:22" x14ac:dyDescent="0.3">
      <c r="B55" s="598" t="s">
        <v>331</v>
      </c>
      <c r="C55" s="599"/>
      <c r="D55" s="599"/>
      <c r="E55" s="599"/>
      <c r="G55" s="478" t="s">
        <v>328</v>
      </c>
      <c r="H55" s="112"/>
      <c r="I55" s="4">
        <f>SOPL!I34</f>
        <v>28.2</v>
      </c>
      <c r="J55" s="4">
        <f>SOPL!J34</f>
        <v>32.729999999999997</v>
      </c>
      <c r="K55" s="4">
        <f>SOPL!K34</f>
        <v>31.59</v>
      </c>
      <c r="L55" s="4">
        <f>SOPL!L34</f>
        <v>42.83</v>
      </c>
      <c r="M55" s="4">
        <f>SOPL!M34</f>
        <v>56.95</v>
      </c>
      <c r="N55" s="4">
        <f>SOPL!N34</f>
        <v>38.25</v>
      </c>
      <c r="O55" s="4">
        <f>SOPL!O34</f>
        <v>45.12</v>
      </c>
      <c r="P55" s="7"/>
      <c r="Q55" s="121">
        <f t="shared" ref="Q55:Q61" si="9">MEDIAN(I55:O55)</f>
        <v>38.25</v>
      </c>
      <c r="R55" s="121">
        <f t="shared" ref="R55:R61" si="10">AVERAGE(I55:O55)</f>
        <v>39.381428571428572</v>
      </c>
      <c r="S55" s="434">
        <f>SOPL!P34</f>
        <v>49.071657230815404</v>
      </c>
      <c r="T55" s="4">
        <f>SOPL!Q34</f>
        <v>53.48200231223786</v>
      </c>
      <c r="U55" s="4">
        <f>SOPL!R34</f>
        <v>58.209512419042419</v>
      </c>
      <c r="V55" s="421">
        <f>SOPL!S34</f>
        <v>63.280654909376743</v>
      </c>
    </row>
    <row r="56" spans="2:22" x14ac:dyDescent="0.3">
      <c r="B56" s="76" t="s">
        <v>332</v>
      </c>
      <c r="C56" s="1"/>
      <c r="D56" s="1"/>
      <c r="E56" s="1"/>
      <c r="G56" s="113" t="s">
        <v>328</v>
      </c>
      <c r="I56" s="4">
        <f>SOPL!I35</f>
        <v>12.000027648103734</v>
      </c>
      <c r="J56" s="4">
        <f>SOPL!J35</f>
        <v>17.850020275797341</v>
      </c>
      <c r="K56" s="4">
        <f>SOPL!K35</f>
        <v>19.148084150610899</v>
      </c>
      <c r="L56" s="4">
        <f>SOPL!L35</f>
        <v>26.399977422800362</v>
      </c>
      <c r="M56" s="4">
        <f>SOPL!M35</f>
        <v>33.300014171216972</v>
      </c>
      <c r="N56" s="4">
        <f>SOPL!N35</f>
        <v>24.799994587143491</v>
      </c>
      <c r="O56" s="4">
        <f>SOPL!O35</f>
        <v>27.499959106452902</v>
      </c>
      <c r="P56" s="7"/>
      <c r="Q56" s="121">
        <f t="shared" si="9"/>
        <v>24.799994587143491</v>
      </c>
      <c r="R56" s="121">
        <f t="shared" si="10"/>
        <v>22.999725337446531</v>
      </c>
      <c r="S56" s="434">
        <f>SOPL!P35</f>
        <v>29.739927275296075</v>
      </c>
      <c r="T56" s="4">
        <f>SOPL!Q35</f>
        <v>32.412821352696362</v>
      </c>
      <c r="U56" s="4">
        <f>SOPL!R35</f>
        <v>35.27793361308494</v>
      </c>
      <c r="V56" s="421">
        <f>SOPL!S35</f>
        <v>38.351304625517344</v>
      </c>
    </row>
    <row r="57" spans="2:22" x14ac:dyDescent="0.3">
      <c r="B57" s="77" t="s">
        <v>97</v>
      </c>
      <c r="G57" s="11"/>
      <c r="I57" s="100">
        <f>SOPL!I53</f>
        <v>0.42549636436896754</v>
      </c>
      <c r="J57" s="100">
        <f>SOPL!J53</f>
        <v>0.54540039308251231</v>
      </c>
      <c r="K57" s="100">
        <f>SOPL!K53</f>
        <v>0.60605100690629155</v>
      </c>
      <c r="L57" s="100">
        <f>SOPL!L53</f>
        <v>0.61665915815363648</v>
      </c>
      <c r="M57" s="100">
        <f>SOPL!M53</f>
        <v>0.58498085245493325</v>
      </c>
      <c r="N57" s="100">
        <f>SOPL!N53</f>
        <v>0.64866670484261957</v>
      </c>
      <c r="O57" s="100">
        <f>SOPL!O53</f>
        <v>0.60984429005745189</v>
      </c>
      <c r="P57" s="7"/>
      <c r="Q57" s="94">
        <f t="shared" si="9"/>
        <v>0.60605100690629155</v>
      </c>
      <c r="R57" s="93">
        <f t="shared" si="10"/>
        <v>0.57672839569520173</v>
      </c>
      <c r="S57" s="397">
        <f>SOPL!P53</f>
        <v>0.60605100690629155</v>
      </c>
      <c r="T57" s="91">
        <f>SOPL!Q53</f>
        <v>0.60605100690629155</v>
      </c>
      <c r="U57" s="91">
        <f>SOPL!R53</f>
        <v>0.60605100690629155</v>
      </c>
      <c r="V57" s="101">
        <f>SOPL!S53</f>
        <v>0.60605100690629155</v>
      </c>
    </row>
    <row r="58" spans="2:22" x14ac:dyDescent="0.3">
      <c r="B58" s="76" t="s">
        <v>101</v>
      </c>
      <c r="G58" s="11"/>
      <c r="I58" s="43">
        <f>1-I57</f>
        <v>0.57450363563103246</v>
      </c>
      <c r="J58" s="43">
        <f t="shared" ref="J58:O58" si="11">1-J57</f>
        <v>0.45459960691748769</v>
      </c>
      <c r="K58" s="43">
        <f t="shared" si="11"/>
        <v>0.39394899309370845</v>
      </c>
      <c r="L58" s="43">
        <f t="shared" si="11"/>
        <v>0.38334084184636352</v>
      </c>
      <c r="M58" s="43">
        <f t="shared" si="11"/>
        <v>0.41501914754506675</v>
      </c>
      <c r="N58" s="43">
        <f t="shared" si="11"/>
        <v>0.35133329515738043</v>
      </c>
      <c r="O58" s="43">
        <f t="shared" si="11"/>
        <v>0.39015570994254811</v>
      </c>
      <c r="P58" s="7"/>
      <c r="Q58" s="94">
        <f t="shared" si="9"/>
        <v>0.39394899309370845</v>
      </c>
      <c r="R58" s="93">
        <f t="shared" si="10"/>
        <v>0.42327160430479821</v>
      </c>
      <c r="S58" s="443">
        <f>1-S57</f>
        <v>0.39394899309370845</v>
      </c>
      <c r="T58" s="43">
        <f>1-T57</f>
        <v>0.39394899309370845</v>
      </c>
      <c r="U58" s="43">
        <f>1-U57</f>
        <v>0.39394899309370845</v>
      </c>
      <c r="V58" s="428">
        <f>1-V57</f>
        <v>0.39394899309370845</v>
      </c>
    </row>
    <row r="59" spans="2:22" x14ac:dyDescent="0.3">
      <c r="B59" s="77" t="s">
        <v>98</v>
      </c>
      <c r="G59" s="11"/>
      <c r="I59" s="100">
        <f>SOPL!I35/'Ratio Analysis'!I11</f>
        <v>7.2007366625284931E-3</v>
      </c>
      <c r="J59" s="100">
        <f>SOPL!J35/'Ratio Analysis'!J11</f>
        <v>7.0347679813184127E-3</v>
      </c>
      <c r="K59" s="100">
        <f>SOPL!K35/'Ratio Analysis'!K11</f>
        <v>6.2170113640191886E-3</v>
      </c>
      <c r="L59" s="100">
        <f>SOPL!L35/'Ratio Analysis'!L11</f>
        <v>9.5594942960912348E-3</v>
      </c>
      <c r="M59" s="100">
        <f>SOPL!M35/'Ratio Analysis'!M11</f>
        <v>1.1697554815567567E-2</v>
      </c>
      <c r="N59" s="100">
        <f>SOPL!N35/'Ratio Analysis'!N11</f>
        <v>1.0595345133678035E-2</v>
      </c>
      <c r="O59" s="100">
        <f>SOPL!O35/'Ratio Analysis'!O11</f>
        <v>1.2700886341424767E-2</v>
      </c>
      <c r="P59" s="7"/>
      <c r="Q59" s="94">
        <f t="shared" si="9"/>
        <v>9.5594942960912348E-3</v>
      </c>
      <c r="R59" s="93">
        <f t="shared" si="10"/>
        <v>9.2865423706610991E-3</v>
      </c>
      <c r="S59" s="431" t="s">
        <v>298</v>
      </c>
      <c r="T59" s="112" t="s">
        <v>298</v>
      </c>
      <c r="U59" s="112" t="s">
        <v>298</v>
      </c>
      <c r="V59" s="113" t="s">
        <v>298</v>
      </c>
    </row>
    <row r="60" spans="2:22" x14ac:dyDescent="0.3">
      <c r="B60" s="76" t="s">
        <v>99</v>
      </c>
      <c r="G60" s="11"/>
      <c r="I60" s="100">
        <f>SOPL!I34/'Ratio Analysis'!I11</f>
        <v>1.692169216921692E-2</v>
      </c>
      <c r="J60" s="100">
        <f>SOPL!J34/'Ratio Analysis'!J11</f>
        <v>1.2899030503665167E-2</v>
      </c>
      <c r="K60" s="100">
        <f>SOPL!K34/'Ratio Analysis'!K11</f>
        <v>1.025666001071446E-2</v>
      </c>
      <c r="L60" s="100">
        <f>SOPL!L34/'Ratio Analysis'!L11</f>
        <v>1.5508844350297828E-2</v>
      </c>
      <c r="M60" s="100">
        <f>SOPL!M34/'Ratio Analysis'!M11</f>
        <v>2.0005269166593485E-2</v>
      </c>
      <c r="N60" s="100">
        <f>SOPL!N34/'Ratio Analysis'!N11</f>
        <v>1.6341614508790292E-2</v>
      </c>
      <c r="O60" s="100">
        <f>SOPL!O34/'Ratio Analysis'!O11</f>
        <v>2.0838721596157399E-2</v>
      </c>
      <c r="P60" s="7"/>
      <c r="Q60" s="94">
        <f t="shared" si="9"/>
        <v>1.6341614508790292E-2</v>
      </c>
      <c r="R60" s="93">
        <f t="shared" si="10"/>
        <v>1.6110261757919363E-2</v>
      </c>
      <c r="S60" s="431" t="s">
        <v>298</v>
      </c>
      <c r="T60" s="112" t="s">
        <v>298</v>
      </c>
      <c r="U60" s="112" t="s">
        <v>298</v>
      </c>
      <c r="V60" s="113" t="s">
        <v>298</v>
      </c>
    </row>
    <row r="61" spans="2:22" x14ac:dyDescent="0.3">
      <c r="B61" s="80" t="s">
        <v>118</v>
      </c>
      <c r="C61" s="74"/>
      <c r="D61" s="74"/>
      <c r="E61" s="74"/>
      <c r="F61" s="74"/>
      <c r="G61" s="75"/>
      <c r="H61" s="74"/>
      <c r="I61" s="114">
        <f>I11/SOPL!I34</f>
        <v>59.095744680851062</v>
      </c>
      <c r="J61" s="114">
        <f>J11/SOPL!J34</f>
        <v>77.525206232813943</v>
      </c>
      <c r="K61" s="114">
        <f>K11/SOPL!K34</f>
        <v>97.497625830959166</v>
      </c>
      <c r="L61" s="114">
        <f>L11/SOPL!L34</f>
        <v>64.479336913378475</v>
      </c>
      <c r="M61" s="114">
        <f>M11/SOPL!M34</f>
        <v>49.986830553116768</v>
      </c>
      <c r="N61" s="114">
        <f>N11/SOPL!N34</f>
        <v>61.193464052287581</v>
      </c>
      <c r="O61" s="114">
        <f>O11/SOPL!O34</f>
        <v>47.987588652482266</v>
      </c>
      <c r="P61" s="92"/>
      <c r="Q61" s="123">
        <f t="shared" si="9"/>
        <v>61.193464052287581</v>
      </c>
      <c r="R61" s="119">
        <f t="shared" si="10"/>
        <v>65.395113845127042</v>
      </c>
      <c r="S61" s="223" t="s">
        <v>298</v>
      </c>
      <c r="T61" s="444" t="s">
        <v>298</v>
      </c>
      <c r="U61" s="444" t="s">
        <v>298</v>
      </c>
      <c r="V61" s="140" t="s">
        <v>298</v>
      </c>
    </row>
    <row r="62" spans="2:22" x14ac:dyDescent="0.3">
      <c r="I62" s="100"/>
      <c r="J62" s="100"/>
      <c r="K62" s="100"/>
      <c r="L62" s="100"/>
      <c r="M62" s="100"/>
      <c r="N62" s="100"/>
      <c r="O62" s="100"/>
    </row>
    <row r="63" spans="2:22" x14ac:dyDescent="0.3">
      <c r="I63" s="91"/>
      <c r="Q63" s="167"/>
    </row>
    <row r="64" spans="2:22" x14ac:dyDescent="0.3">
      <c r="I64" s="40"/>
      <c r="J64" s="40"/>
      <c r="K64" s="40"/>
      <c r="L64" s="40"/>
      <c r="M64" s="40"/>
      <c r="N64" s="40"/>
      <c r="O64" s="40"/>
      <c r="Q64" s="91"/>
    </row>
  </sheetData>
  <mergeCells count="8">
    <mergeCell ref="B55:E55"/>
    <mergeCell ref="B33:G33"/>
    <mergeCell ref="B16:G16"/>
    <mergeCell ref="S8:V8"/>
    <mergeCell ref="B6:V6"/>
    <mergeCell ref="G2:K2"/>
    <mergeCell ref="H8:O8"/>
    <mergeCell ref="G4:I4"/>
  </mergeCells>
  <pageMargins left="0.7" right="0.7" top="0.75" bottom="0.75" header="0.3" footer="0.3"/>
  <drawing r:id="rId1"/>
  <extLst>
    <ext xmlns:x14="http://schemas.microsoft.com/office/spreadsheetml/2009/9/main" uri="{05C60535-1F16-4fd2-B633-F4F36F0B64E0}">
      <x14:sparklineGroups xmlns:xm="http://schemas.microsoft.com/office/excel/2006/main">
        <x14:sparklineGroup manualMax="0" manualMin="0" displayEmptyCellsAs="gap" markers="1" xr2:uid="{93DD8770-F786-41FE-BD56-268613DCB4A4}">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f>'Ratio Analysis'!I11:O11</xm:f>
              <xm:sqref>P11</xm:sqref>
            </x14:sparkline>
          </x14:sparklines>
        </x14:sparklineGroup>
        <x14:sparklineGroup manualMax="0" manualMin="0" displayEmptyCellsAs="gap" markers="1" xr2:uid="{C1973AF7-1592-40B5-8482-4A5875E8852F}">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f>'Ratio Analysis'!I14:O14</xm:f>
              <xm:sqref>P14</xm:sqref>
            </x14:sparkline>
            <x14:sparkline>
              <xm:f>'Ratio Analysis'!I15:O15</xm:f>
              <xm:sqref>P15</xm:sqref>
            </x14:sparkline>
            <x14:sparkline>
              <xm:f>'Ratio Analysis'!I16:O16</xm:f>
              <xm:sqref>P16</xm:sqref>
            </x14:sparkline>
            <x14:sparkline>
              <xm:f>'Ratio Analysis'!I17:O17</xm:f>
              <xm:sqref>P17</xm:sqref>
            </x14:sparkline>
            <x14:sparkline>
              <xm:f>'Ratio Analysis'!I18:O18</xm:f>
              <xm:sqref>P18</xm:sqref>
            </x14:sparkline>
            <x14:sparkline>
              <xm:f>'Ratio Analysis'!I19:O19</xm:f>
              <xm:sqref>P19</xm:sqref>
            </x14:sparkline>
            <x14:sparkline>
              <xm:f>'Ratio Analysis'!I20:O20</xm:f>
              <xm:sqref>P20</xm:sqref>
            </x14:sparkline>
            <x14:sparkline>
              <xm:f>'Ratio Analysis'!I21:O21</xm:f>
              <xm:sqref>P21</xm:sqref>
            </x14:sparkline>
            <x14:sparkline>
              <xm:f>'Ratio Analysis'!I22:O22</xm:f>
              <xm:sqref>P22</xm:sqref>
            </x14:sparkline>
            <x14:sparkline>
              <xm:f>'Ratio Analysis'!I23:O23</xm:f>
              <xm:sqref>P23</xm:sqref>
            </x14:sparkline>
            <x14:sparkline>
              <xm:f>'Ratio Analysis'!I24:O24</xm:f>
              <xm:sqref>P24</xm:sqref>
            </x14:sparkline>
            <x14:sparkline>
              <xm:f>'Ratio Analysis'!I25:O25</xm:f>
              <xm:sqref>P25</xm:sqref>
            </x14:sparkline>
            <x14:sparkline>
              <xm:f>'Ratio Analysis'!I27:O27</xm:f>
              <xm:sqref>P27</xm:sqref>
            </x14:sparkline>
            <x14:sparkline>
              <xm:f>'Ratio Analysis'!I28:O28</xm:f>
              <xm:sqref>P28</xm:sqref>
            </x14:sparkline>
            <x14:sparkline>
              <xm:f>'Ratio Analysis'!I29:O29</xm:f>
              <xm:sqref>P29</xm:sqref>
            </x14:sparkline>
            <x14:sparkline>
              <xm:f>'Ratio Analysis'!I30:O30</xm:f>
              <xm:sqref>P30</xm:sqref>
            </x14:sparkline>
            <x14:sparkline>
              <xm:f>'Ratio Analysis'!I31:O31</xm:f>
              <xm:sqref>P31</xm:sqref>
            </x14:sparkline>
            <x14:sparkline>
              <xm:f>'Ratio Analysis'!I32:O32</xm:f>
              <xm:sqref>P32</xm:sqref>
            </x14:sparkline>
            <x14:sparkline>
              <xm:f>'Ratio Analysis'!I33:O33</xm:f>
              <xm:sqref>P33</xm:sqref>
            </x14:sparkline>
            <x14:sparkline>
              <xm:f>'Ratio Analysis'!I34:O34</xm:f>
              <xm:sqref>P34</xm:sqref>
            </x14:sparkline>
            <x14:sparkline>
              <xm:f>'Ratio Analysis'!I35:O35</xm:f>
              <xm:sqref>P35</xm:sqref>
            </x14:sparkline>
            <x14:sparkline>
              <xm:f>'Ratio Analysis'!I36:O36</xm:f>
              <xm:sqref>P36</xm:sqref>
            </x14:sparkline>
            <x14:sparkline>
              <xm:f>'Ratio Analysis'!I37:O37</xm:f>
              <xm:sqref>P37</xm:sqref>
            </x14:sparkline>
            <x14:sparkline>
              <xm:f>'Ratio Analysis'!I38:O38</xm:f>
              <xm:sqref>P38</xm:sqref>
            </x14:sparkline>
            <x14:sparkline>
              <xm:f>'Ratio Analysis'!I42:O42</xm:f>
              <xm:sqref>P42</xm:sqref>
            </x14:sparkline>
            <x14:sparkline>
              <xm:f>'Ratio Analysis'!I43:O43</xm:f>
              <xm:sqref>P43</xm:sqref>
            </x14:sparkline>
            <x14:sparkline>
              <xm:f>'Ratio Analysis'!I41:O41</xm:f>
              <xm:sqref>P41</xm:sqref>
            </x14:sparkline>
            <x14:sparkline>
              <xm:f>'Ratio Analysis'!I44:O44</xm:f>
              <xm:sqref>P44</xm:sqref>
            </x14:sparkline>
            <x14:sparkline>
              <xm:f>'Ratio Analysis'!I45:O45</xm:f>
              <xm:sqref>P45</xm:sqref>
            </x14:sparkline>
            <x14:sparkline>
              <xm:f>'Ratio Analysis'!I46:O46</xm:f>
              <xm:sqref>P46</xm:sqref>
            </x14:sparkline>
            <x14:sparkline>
              <xm:f>'Ratio Analysis'!I47:O47</xm:f>
              <xm:sqref>P47</xm:sqref>
            </x14:sparkline>
            <x14:sparkline>
              <xm:f>'Ratio Analysis'!I48:O48</xm:f>
              <xm:sqref>P48</xm:sqref>
            </x14:sparkline>
            <x14:sparkline>
              <xm:f>'Ratio Analysis'!I49:O49</xm:f>
              <xm:sqref>P49</xm:sqref>
            </x14:sparkline>
            <x14:sparkline>
              <xm:f>'Ratio Analysis'!I50:O50</xm:f>
              <xm:sqref>P50</xm:sqref>
            </x14:sparkline>
            <x14:sparkline>
              <xm:f>'Ratio Analysis'!I51:O51</xm:f>
              <xm:sqref>P51</xm:sqref>
            </x14:sparkline>
            <x14:sparkline>
              <xm:f>'Ratio Analysis'!I52:O52</xm:f>
              <xm:sqref>P52</xm:sqref>
            </x14:sparkline>
            <x14:sparkline>
              <xm:f>'Ratio Analysis'!I54:O54</xm:f>
              <xm:sqref>P54</xm:sqref>
            </x14:sparkline>
            <x14:sparkline>
              <xm:f>'Ratio Analysis'!I55:O55</xm:f>
              <xm:sqref>P55</xm:sqref>
            </x14:sparkline>
            <x14:sparkline>
              <xm:f>'Ratio Analysis'!I56:O56</xm:f>
              <xm:sqref>P56</xm:sqref>
            </x14:sparkline>
            <x14:sparkline>
              <xm:f>'Ratio Analysis'!I57:O57</xm:f>
              <xm:sqref>P57</xm:sqref>
            </x14:sparkline>
            <x14:sparkline>
              <xm:f>'Ratio Analysis'!I58:O58</xm:f>
              <xm:sqref>P58</xm:sqref>
            </x14:sparkline>
            <x14:sparkline>
              <xm:f>'Ratio Analysis'!I59:O59</xm:f>
              <xm:sqref>P59</xm:sqref>
            </x14:sparkline>
            <x14:sparkline>
              <xm:f>'Ratio Analysis'!I60:O60</xm:f>
              <xm:sqref>P60</xm:sqref>
            </x14:sparkline>
            <x14:sparkline>
              <xm:f>'Ratio Analysis'!I61:O61</xm:f>
              <xm:sqref>P61</xm:sqref>
            </x14:sparkline>
            <x14:sparkline>
              <xm:f>'Ratio Analysis'!I39:O39</xm:f>
              <xm:sqref>P39</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7AB99-5F20-4F97-B994-E0C861BE09E3}">
  <sheetPr codeName="Sheet8"/>
  <dimension ref="A2:T89"/>
  <sheetViews>
    <sheetView showGridLines="0" zoomScale="95" zoomScaleNormal="100" workbookViewId="0">
      <selection activeCell="V9" sqref="V9"/>
    </sheetView>
  </sheetViews>
  <sheetFormatPr defaultRowHeight="14.4" x14ac:dyDescent="0.3"/>
  <cols>
    <col min="1" max="1" width="2.88671875" customWidth="1"/>
    <col min="3" max="3" width="8.21875" customWidth="1"/>
    <col min="4" max="6" width="2.88671875" customWidth="1"/>
    <col min="9" max="19" width="12.77734375" customWidth="1"/>
  </cols>
  <sheetData>
    <row r="2" spans="1:19" x14ac:dyDescent="0.3">
      <c r="F2" s="1" t="s">
        <v>34</v>
      </c>
      <c r="G2" s="1"/>
      <c r="H2" s="1"/>
      <c r="I2" s="1"/>
      <c r="L2" s="86"/>
    </row>
    <row r="3" spans="1:19" x14ac:dyDescent="0.3">
      <c r="F3" s="17" t="s">
        <v>326</v>
      </c>
    </row>
    <row r="4" spans="1:19" ht="18" x14ac:dyDescent="0.3">
      <c r="F4" s="572">
        <v>2649.4</v>
      </c>
      <c r="G4" s="572"/>
      <c r="H4" s="572"/>
      <c r="O4" s="44"/>
    </row>
    <row r="5" spans="1:19" ht="18.600000000000001" thickBot="1" x14ac:dyDescent="0.35">
      <c r="F5" s="240" t="s">
        <v>272</v>
      </c>
      <c r="G5" s="239"/>
      <c r="H5" s="42"/>
    </row>
    <row r="6" spans="1:19" ht="22.2" thickTop="1" thickBot="1" x14ac:dyDescent="0.45">
      <c r="A6" s="1"/>
      <c r="B6" s="523" t="s">
        <v>292</v>
      </c>
      <c r="C6" s="523"/>
      <c r="D6" s="523"/>
      <c r="E6" s="523"/>
      <c r="F6" s="523"/>
      <c r="G6" s="523"/>
      <c r="H6" s="523"/>
      <c r="I6" s="523"/>
      <c r="J6" s="523"/>
      <c r="K6" s="523"/>
      <c r="L6" s="523"/>
      <c r="M6" s="523"/>
      <c r="N6" s="523"/>
      <c r="O6" s="523"/>
      <c r="P6" s="523"/>
      <c r="Q6" s="523"/>
      <c r="R6" s="523"/>
      <c r="S6" s="523"/>
    </row>
    <row r="7" spans="1:19" ht="15" thickTop="1" x14ac:dyDescent="0.3">
      <c r="A7" s="1"/>
      <c r="B7" s="1"/>
      <c r="S7" s="6"/>
    </row>
    <row r="8" spans="1:19" ht="15" thickBot="1" x14ac:dyDescent="0.35">
      <c r="B8" s="13"/>
      <c r="C8" s="12"/>
      <c r="D8" s="12"/>
      <c r="E8" s="12"/>
      <c r="F8" s="12"/>
      <c r="G8" s="12"/>
      <c r="H8" s="20"/>
      <c r="I8" s="565" t="s">
        <v>299</v>
      </c>
      <c r="J8" s="566"/>
      <c r="K8" s="566"/>
      <c r="L8" s="566"/>
      <c r="M8" s="566"/>
      <c r="N8" s="566"/>
      <c r="O8" s="566"/>
      <c r="P8" s="517" t="s">
        <v>21</v>
      </c>
      <c r="Q8" s="517"/>
      <c r="R8" s="517"/>
      <c r="S8" s="518"/>
    </row>
    <row r="9" spans="1:19" ht="15" thickTop="1" x14ac:dyDescent="0.3">
      <c r="B9" s="14" t="s">
        <v>18</v>
      </c>
      <c r="C9" s="15"/>
      <c r="D9" s="15"/>
      <c r="E9" s="15"/>
      <c r="F9" s="15"/>
      <c r="G9" s="15"/>
      <c r="H9" s="15"/>
      <c r="I9" s="321">
        <f>J9-1</f>
        <v>20</v>
      </c>
      <c r="J9" s="322">
        <v>21</v>
      </c>
      <c r="K9" s="322">
        <f t="shared" ref="K9:S9" si="0">J9+1</f>
        <v>22</v>
      </c>
      <c r="L9" s="322">
        <f t="shared" si="0"/>
        <v>23</v>
      </c>
      <c r="M9" s="322">
        <f t="shared" si="0"/>
        <v>24</v>
      </c>
      <c r="N9" s="322">
        <f t="shared" si="0"/>
        <v>25</v>
      </c>
      <c r="O9" s="322">
        <f t="shared" si="0"/>
        <v>26</v>
      </c>
      <c r="P9" s="323">
        <f t="shared" si="0"/>
        <v>27</v>
      </c>
      <c r="Q9" s="323">
        <f t="shared" si="0"/>
        <v>28</v>
      </c>
      <c r="R9" s="323">
        <f t="shared" si="0"/>
        <v>29</v>
      </c>
      <c r="S9" s="324">
        <f t="shared" si="0"/>
        <v>30</v>
      </c>
    </row>
    <row r="10" spans="1:19" ht="4.2" customHeight="1" x14ac:dyDescent="0.3">
      <c r="B10" s="7"/>
      <c r="I10" s="320"/>
      <c r="J10" s="70"/>
      <c r="K10" s="70"/>
      <c r="L10" s="70"/>
      <c r="M10" s="70"/>
      <c r="N10" s="70"/>
      <c r="O10" s="70"/>
      <c r="P10" s="70"/>
      <c r="Q10" s="70"/>
      <c r="R10" s="70"/>
      <c r="S10" s="325"/>
    </row>
    <row r="11" spans="1:19" x14ac:dyDescent="0.3">
      <c r="B11" s="8" t="s">
        <v>7</v>
      </c>
      <c r="I11" s="326">
        <f>SOPL!I11/SOPL!I$13</f>
        <v>0.99193864803018117</v>
      </c>
      <c r="J11" s="327">
        <f>SOPL!J11/SOPL!J$13</f>
        <v>0.98951815957322853</v>
      </c>
      <c r="K11" s="327">
        <f>SOPL!K11/SOPL!K$13</f>
        <v>0.99389030310694237</v>
      </c>
      <c r="L11" s="327">
        <f>SOPL!L11/SOPL!L$13</f>
        <v>0.99649855212984928</v>
      </c>
      <c r="M11" s="327">
        <f>SOPL!M11/SOPL!M$13</f>
        <v>0.99682741635166683</v>
      </c>
      <c r="N11" s="327">
        <f>SOPL!N11/SOPL!N$13</f>
        <v>0.99680701901336699</v>
      </c>
      <c r="O11" s="327">
        <f>SOPL!O11/SOPL!O$13</f>
        <v>0.99811232946469075</v>
      </c>
      <c r="P11" s="329">
        <f>SOPL!P11/SOPL!P$13</f>
        <v>0.99838709791623104</v>
      </c>
      <c r="Q11" s="329">
        <f>SOPL!Q11/SOPL!Q$13</f>
        <v>0.99862192641935543</v>
      </c>
      <c r="R11" s="329">
        <f>SOPL!R11/SOPL!R$13</f>
        <v>0.9988226056738615</v>
      </c>
      <c r="S11" s="330">
        <f>SOPL!S11/SOPL!S$13</f>
        <v>0.99899409084344093</v>
      </c>
    </row>
    <row r="12" spans="1:19" x14ac:dyDescent="0.3">
      <c r="B12" s="8" t="s">
        <v>4</v>
      </c>
      <c r="I12" s="326">
        <f>SOPL!I12/SOPL!I$13</f>
        <v>8.0613519698187891E-3</v>
      </c>
      <c r="J12" s="327">
        <f>SOPL!J12/SOPL!J$13</f>
        <v>1.0481840426771501E-2</v>
      </c>
      <c r="K12" s="327">
        <f>SOPL!K12/SOPL!K$13</f>
        <v>6.1096968930576256E-3</v>
      </c>
      <c r="L12" s="327">
        <f>SOPL!L12/SOPL!L$13</f>
        <v>3.5014478701506785E-3</v>
      </c>
      <c r="M12" s="327">
        <f>SOPL!M12/SOPL!M$13</f>
        <v>3.1725836483331472E-3</v>
      </c>
      <c r="N12" s="327">
        <f>SOPL!N12/SOPL!N$13</f>
        <v>3.1929809866328945E-3</v>
      </c>
      <c r="O12" s="327">
        <f>SOPL!O12/SOPL!O$13</f>
        <v>1.8876705353093031E-3</v>
      </c>
      <c r="P12" s="329">
        <f>SOPL!P12/SOPL!P$13</f>
        <v>1.6129020837690985E-3</v>
      </c>
      <c r="Q12" s="329">
        <f>SOPL!Q12/SOPL!Q$13</f>
        <v>1.3780735806445631E-3</v>
      </c>
      <c r="R12" s="329">
        <f>SOPL!R12/SOPL!R$13</f>
        <v>1.1773943261385229E-3</v>
      </c>
      <c r="S12" s="330">
        <f>SOPL!S12/SOPL!S$13</f>
        <v>1.0059091565590564E-3</v>
      </c>
    </row>
    <row r="13" spans="1:19" x14ac:dyDescent="0.3">
      <c r="A13" s="1"/>
      <c r="B13" s="9" t="s">
        <v>5</v>
      </c>
      <c r="C13" s="18"/>
      <c r="D13" s="18"/>
      <c r="E13" s="18"/>
      <c r="F13" s="18"/>
      <c r="G13" s="18"/>
      <c r="H13" s="18"/>
      <c r="I13" s="335">
        <f>SOPL!I13/SOPL!I$13</f>
        <v>1</v>
      </c>
      <c r="J13" s="336">
        <f>SOPL!J13/SOPL!J$13</f>
        <v>1</v>
      </c>
      <c r="K13" s="336">
        <f>SOPL!K13/SOPL!K$13</f>
        <v>1</v>
      </c>
      <c r="L13" s="336">
        <f>SOPL!L13/SOPL!L$13</f>
        <v>1</v>
      </c>
      <c r="M13" s="336">
        <f>SOPL!M13/SOPL!M$13</f>
        <v>1</v>
      </c>
      <c r="N13" s="336">
        <f>SOPL!N13/SOPL!N$13</f>
        <v>1</v>
      </c>
      <c r="O13" s="336">
        <f>SOPL!O13/SOPL!O$13</f>
        <v>1</v>
      </c>
      <c r="P13" s="337">
        <f>SOPL!P13/SOPL!P$13</f>
        <v>1</v>
      </c>
      <c r="Q13" s="337">
        <f>SOPL!Q13/SOPL!Q$13</f>
        <v>1</v>
      </c>
      <c r="R13" s="337">
        <f>SOPL!R13/SOPL!R$13</f>
        <v>1</v>
      </c>
      <c r="S13" s="338">
        <f>SOPL!S13/SOPL!S$13</f>
        <v>1</v>
      </c>
    </row>
    <row r="14" spans="1:19" x14ac:dyDescent="0.3">
      <c r="B14" s="8" t="s">
        <v>3</v>
      </c>
      <c r="I14" s="326">
        <f>SOPL!I14/SOPL!I$13</f>
        <v>0.49931498546601527</v>
      </c>
      <c r="J14" s="327">
        <f>SOPL!J14/SOPL!J$13</f>
        <v>0.4751618746370227</v>
      </c>
      <c r="K14" s="327">
        <f>SOPL!K14/SOPL!K$13</f>
        <v>0.55855240731679157</v>
      </c>
      <c r="L14" s="327">
        <f>SOPL!L14/SOPL!L$13</f>
        <v>0.50250184191351399</v>
      </c>
      <c r="M14" s="327">
        <f>SOPL!M14/SOPL!M$13</f>
        <v>0.44705819709010325</v>
      </c>
      <c r="N14" s="327">
        <f>SOPL!N14/SOPL!N$13</f>
        <v>0.46582012067615924</v>
      </c>
      <c r="O14" s="327">
        <f>SOPL!O14/SOPL!O$13</f>
        <v>0.43233613069413551</v>
      </c>
      <c r="P14" s="329">
        <f>SOPL!P14/SOPL!P$13</f>
        <v>0.47516187463702264</v>
      </c>
      <c r="Q14" s="329">
        <f>SOPL!Q14/SOPL!Q$13</f>
        <v>0.47516187463702275</v>
      </c>
      <c r="R14" s="329">
        <f>SOPL!R14/SOPL!R$13</f>
        <v>0.47516187463702275</v>
      </c>
      <c r="S14" s="330">
        <f>SOPL!S14/SOPL!S$13</f>
        <v>0.4751618746370227</v>
      </c>
    </row>
    <row r="15" spans="1:19" x14ac:dyDescent="0.3">
      <c r="B15" s="8" t="s">
        <v>6</v>
      </c>
      <c r="I15" s="326">
        <f>SOPL!I15/SOPL!I$13</f>
        <v>7.5741480611045825E-2</v>
      </c>
      <c r="J15" s="327">
        <f>SOPL!J15/SOPL!J$13</f>
        <v>8.6243637966378336E-2</v>
      </c>
      <c r="K15" s="327">
        <f>SOPL!K15/SOPL!K$13</f>
        <v>0.11584129632785913</v>
      </c>
      <c r="L15" s="327">
        <f>SOPL!L15/SOPL!L$13</f>
        <v>0.11991357141593782</v>
      </c>
      <c r="M15" s="327">
        <f>SOPL!M15/SOPL!M$13</f>
        <v>0.10869782640972336</v>
      </c>
      <c r="N15" s="327">
        <f>SOPL!N15/SOPL!N$13</f>
        <v>0.11581737776805143</v>
      </c>
      <c r="O15" s="327">
        <f>SOPL!O15/SOPL!O$13</f>
        <v>0.11280637058595069</v>
      </c>
      <c r="P15" s="329">
        <f>SOPL!P15/SOPL!P$13</f>
        <v>0.11280637058595071</v>
      </c>
      <c r="Q15" s="329">
        <f>SOPL!Q15/SOPL!Q$13</f>
        <v>0.11280637058595068</v>
      </c>
      <c r="R15" s="329">
        <f>SOPL!R15/SOPL!R$13</f>
        <v>0.11280637058595069</v>
      </c>
      <c r="S15" s="330">
        <f>SOPL!S15/SOPL!S$13</f>
        <v>0.11280637058595069</v>
      </c>
    </row>
    <row r="16" spans="1:19" x14ac:dyDescent="0.3">
      <c r="B16" s="8" t="s">
        <v>9</v>
      </c>
      <c r="I16" s="326">
        <f>SOPL!I16/SOPL!I$13</f>
        <v>-1.1832519017873709E-2</v>
      </c>
      <c r="J16" s="327">
        <f>SOPL!J16/SOPL!J$13</f>
        <v>-4.2578590775298802E-3</v>
      </c>
      <c r="K16" s="327">
        <f>SOPL!K16/SOPL!K$13</f>
        <v>-4.5529612443164016E-2</v>
      </c>
      <c r="L16" s="327">
        <f>SOPL!L16/SOPL!L$13</f>
        <v>-8.9806512820616909E-3</v>
      </c>
      <c r="M16" s="327">
        <f>SOPL!M16/SOPL!M$13</f>
        <v>1.0249408855906215E-2</v>
      </c>
      <c r="N16" s="327">
        <f>SOPL!N16/SOPL!N$13</f>
        <v>-6.0461952915180431E-3</v>
      </c>
      <c r="O16" s="327">
        <f>SOPL!O16/SOPL!O$13</f>
        <v>1.696514736869912E-2</v>
      </c>
      <c r="P16" s="329">
        <f>SOPL!P16/SOPL!P$13</f>
        <v>-6.0461952915180431E-3</v>
      </c>
      <c r="Q16" s="329">
        <f>SOPL!Q16/SOPL!Q$13</f>
        <v>-6.0461952915180431E-3</v>
      </c>
      <c r="R16" s="329">
        <f>SOPL!R16/SOPL!R$13</f>
        <v>-6.0461952915180431E-3</v>
      </c>
      <c r="S16" s="330">
        <f>SOPL!S16/SOPL!S$13</f>
        <v>-6.0461952915180431E-3</v>
      </c>
    </row>
    <row r="17" spans="1:19" x14ac:dyDescent="0.3">
      <c r="B17" s="10" t="s">
        <v>15</v>
      </c>
      <c r="C17" s="18"/>
      <c r="D17" s="18"/>
      <c r="E17" s="18"/>
      <c r="F17" s="18"/>
      <c r="G17" s="18"/>
      <c r="H17" s="18"/>
      <c r="I17" s="339">
        <f>SOPL!I17/SOPL!I$13</f>
        <v>0.56322394705918744</v>
      </c>
      <c r="J17" s="340">
        <f>SOPL!J17/SOPL!J$13</f>
        <v>0.55714765352587114</v>
      </c>
      <c r="K17" s="340">
        <f>SOPL!K17/SOPL!K$13</f>
        <v>0.62886409120148667</v>
      </c>
      <c r="L17" s="340">
        <f>SOPL!L17/SOPL!L$13</f>
        <v>0.61343476204739023</v>
      </c>
      <c r="M17" s="340">
        <f>SOPL!M17/SOPL!M$13</f>
        <v>0.56600543235573286</v>
      </c>
      <c r="N17" s="340">
        <f>SOPL!N17/SOPL!N$13</f>
        <v>0.57559130315269258</v>
      </c>
      <c r="O17" s="340">
        <f>SOPL!O17/SOPL!O$13</f>
        <v>0.56210764864878537</v>
      </c>
      <c r="P17" s="341">
        <f>SOPL!P17/SOPL!P$13</f>
        <v>0.58192204993145535</v>
      </c>
      <c r="Q17" s="341">
        <f>SOPL!Q17/SOPL!Q$13</f>
        <v>0.58192204993145547</v>
      </c>
      <c r="R17" s="341">
        <f>SOPL!R17/SOPL!R$13</f>
        <v>0.58192204993145535</v>
      </c>
      <c r="S17" s="342">
        <f>SOPL!S17/SOPL!S$13</f>
        <v>0.58192204993145535</v>
      </c>
    </row>
    <row r="18" spans="1:19" x14ac:dyDescent="0.3">
      <c r="A18" s="1"/>
      <c r="B18" s="9" t="s">
        <v>11</v>
      </c>
      <c r="C18" s="18"/>
      <c r="D18" s="18"/>
      <c r="E18" s="18"/>
      <c r="F18" s="18"/>
      <c r="G18" s="18"/>
      <c r="H18" s="18"/>
      <c r="I18" s="339">
        <f>SOPL!I18/SOPL!I$13</f>
        <v>0.43677605294081262</v>
      </c>
      <c r="J18" s="340">
        <f>SOPL!J18/SOPL!J$13</f>
        <v>0.44285234647412891</v>
      </c>
      <c r="K18" s="340">
        <f>SOPL!K18/SOPL!K$13</f>
        <v>0.37113590879851333</v>
      </c>
      <c r="L18" s="340">
        <f>SOPL!L18/SOPL!L$13</f>
        <v>0.38656523795260977</v>
      </c>
      <c r="M18" s="340">
        <f>SOPL!M18/SOPL!M$13</f>
        <v>0.43399456764426714</v>
      </c>
      <c r="N18" s="340">
        <f>SOPL!N18/SOPL!N$13</f>
        <v>0.42440869684730742</v>
      </c>
      <c r="O18" s="340">
        <f>SOPL!O18/SOPL!O$13</f>
        <v>0.43789235135121468</v>
      </c>
      <c r="P18" s="341">
        <f>SOPL!P18/SOPL!P$13</f>
        <v>0.41807795006854465</v>
      </c>
      <c r="Q18" s="341">
        <f>SOPL!Q18/SOPL!Q$13</f>
        <v>0.41807795006854459</v>
      </c>
      <c r="R18" s="341">
        <f>SOPL!R18/SOPL!R$13</f>
        <v>0.41807795006854465</v>
      </c>
      <c r="S18" s="342">
        <f>SOPL!S18/SOPL!S$13</f>
        <v>0.41807795006854459</v>
      </c>
    </row>
    <row r="19" spans="1:19" x14ac:dyDescent="0.3">
      <c r="A19" s="1"/>
      <c r="B19" s="8" t="s">
        <v>24</v>
      </c>
      <c r="I19" s="326">
        <f>SOPL!I19/SOPL!I$13</f>
        <v>1.5056466077061043E-2</v>
      </c>
      <c r="J19" s="327">
        <f>SOPL!J19/SOPL!J$13</f>
        <v>1.3957211394758574E-2</v>
      </c>
      <c r="K19" s="327">
        <f>SOPL!K19/SOPL!K$13</f>
        <v>1.3058188505797683E-2</v>
      </c>
      <c r="L19" s="327">
        <f>SOPL!L19/SOPL!L$13</f>
        <v>1.1206024949120853E-2</v>
      </c>
      <c r="M19" s="327">
        <f>SOPL!M19/SOPL!M$13</f>
        <v>1.9382032205907753E-2</v>
      </c>
      <c r="N19" s="327">
        <f>SOPL!N19/SOPL!N$13</f>
        <v>1.688835066281047E-2</v>
      </c>
      <c r="O19" s="327">
        <f>SOPL!O19/SOPL!O$13</f>
        <v>2.0340865467572928E-2</v>
      </c>
      <c r="P19" s="329">
        <f>SOPL!P19/SOPL!P$13</f>
        <v>2.1533490767331791E-2</v>
      </c>
      <c r="Q19" s="329">
        <f>SOPL!Q19/SOPL!Q$13</f>
        <v>2.279512863539427E-2</v>
      </c>
      <c r="R19" s="329">
        <f>SOPL!R19/SOPL!R$13</f>
        <v>2.4129858995744876E-2</v>
      </c>
      <c r="S19" s="330">
        <f>SOPL!S19/SOPL!S$13</f>
        <v>2.5541994786990495E-2</v>
      </c>
    </row>
    <row r="20" spans="1:19" x14ac:dyDescent="0.3">
      <c r="B20" s="8" t="s">
        <v>8</v>
      </c>
      <c r="I20" s="326">
        <f>SOPL!I20/SOPL!I$13</f>
        <v>6.7590574556249616E-2</v>
      </c>
      <c r="J20" s="327">
        <f>SOPL!J20/SOPL!J$13</f>
        <v>7.0960479975166704E-2</v>
      </c>
      <c r="K20" s="327">
        <f>SOPL!K20/SOPL!K$13</f>
        <v>6.1394893970299597E-2</v>
      </c>
      <c r="L20" s="327">
        <f>SOPL!L20/SOPL!L$13</f>
        <v>5.8804085641077232E-2</v>
      </c>
      <c r="M20" s="327">
        <f>SOPL!M20/SOPL!M$13</f>
        <v>6.5535926037470923E-2</v>
      </c>
      <c r="N20" s="327">
        <f>SOPL!N20/SOPL!N$13</f>
        <v>7.6601755107265398E-2</v>
      </c>
      <c r="O20" s="327">
        <f>SOPL!O20/SOPL!O$13</f>
        <v>7.8676545391492811E-2</v>
      </c>
      <c r="P20" s="329">
        <f>SOPL!P20/SOPL!P$13</f>
        <v>8.1568259907630614E-2</v>
      </c>
      <c r="Q20" s="329">
        <f>SOPL!Q20/SOPL!Q$13</f>
        <v>8.4562869347817218E-2</v>
      </c>
      <c r="R20" s="329">
        <f>SOPL!R20/SOPL!R$13</f>
        <v>8.7664417610350834E-2</v>
      </c>
      <c r="S20" s="330">
        <f>SOPL!S20/SOPL!S$13</f>
        <v>9.0877063262659236E-2</v>
      </c>
    </row>
    <row r="21" spans="1:19" x14ac:dyDescent="0.3">
      <c r="B21" s="8" t="s">
        <v>10</v>
      </c>
      <c r="I21" s="326">
        <f>SOPL!I21/SOPL!I$13</f>
        <v>0.16327194013235202</v>
      </c>
      <c r="J21" s="327">
        <f>SOPL!J21/SOPL!J$13</f>
        <v>0.14826330471579194</v>
      </c>
      <c r="K21" s="327">
        <f>SOPL!K21/SOPL!K$13</f>
        <v>0.14467576683912187</v>
      </c>
      <c r="L21" s="327">
        <f>SOPL!L21/SOPL!L$13</f>
        <v>0.1462564865655569</v>
      </c>
      <c r="M21" s="327">
        <f>SOPL!M21/SOPL!M$13</f>
        <v>0.15476551026025553</v>
      </c>
      <c r="N21" s="327">
        <f>SOPL!N21/SOPL!N$13</f>
        <v>0.17066197285287804</v>
      </c>
      <c r="O21" s="327">
        <f>SOPL!O21/SOPL!O$13</f>
        <v>0.17104116116608972</v>
      </c>
      <c r="P21" s="329">
        <f>SOPL!P21/SOPL!P$13</f>
        <v>0.15476551026025553</v>
      </c>
      <c r="Q21" s="329">
        <f>SOPL!Q21/SOPL!Q$13</f>
        <v>0.15476551026025553</v>
      </c>
      <c r="R21" s="329">
        <f>SOPL!R21/SOPL!R$13</f>
        <v>0.15476551026025553</v>
      </c>
      <c r="S21" s="330">
        <f>SOPL!S21/SOPL!S$13</f>
        <v>0.15476551026025553</v>
      </c>
    </row>
    <row r="22" spans="1:19" x14ac:dyDescent="0.3">
      <c r="A22" s="1"/>
      <c r="B22" s="10" t="s">
        <v>12</v>
      </c>
      <c r="C22" s="18"/>
      <c r="D22" s="18"/>
      <c r="E22" s="18"/>
      <c r="F22" s="18"/>
      <c r="G22" s="18"/>
      <c r="H22" s="18"/>
      <c r="I22" s="339">
        <f>SOPL!I22/SOPL!I$13</f>
        <v>0.22097000432927202</v>
      </c>
      <c r="J22" s="340">
        <f>SOPL!J22/SOPL!J$13</f>
        <v>0.23758577317792878</v>
      </c>
      <c r="K22" s="340">
        <f>SOPL!K22/SOPL!K$13</f>
        <v>0.17812343649488954</v>
      </c>
      <c r="L22" s="340">
        <f>SOPL!L22/SOPL!L$13</f>
        <v>0.19271069069509653</v>
      </c>
      <c r="M22" s="340">
        <f>SOPL!M22/SOPL!M$13</f>
        <v>0.23307516355244842</v>
      </c>
      <c r="N22" s="340">
        <f>SOPL!N22/SOPL!N$13</f>
        <v>0.19403331954997444</v>
      </c>
      <c r="O22" s="340">
        <f>SOPL!O22/SOPL!O$13</f>
        <v>0.20851551026120507</v>
      </c>
      <c r="P22" s="341">
        <f>SOPL!P22/SOPL!P$13</f>
        <v>0.20327767066799027</v>
      </c>
      <c r="Q22" s="341">
        <f>SOPL!Q22/SOPL!Q$13</f>
        <v>0.20154469909586614</v>
      </c>
      <c r="R22" s="341">
        <f>SOPL!R22/SOPL!R$13</f>
        <v>0.19977788119368314</v>
      </c>
      <c r="S22" s="342">
        <f>SOPL!S22/SOPL!S$13</f>
        <v>0.19797737133262036</v>
      </c>
    </row>
    <row r="23" spans="1:19" x14ac:dyDescent="0.3">
      <c r="B23" s="7" t="s">
        <v>13</v>
      </c>
      <c r="I23" s="326">
        <f>SOPL!I23/SOPL!I$13</f>
        <v>3.8617106809326486E-2</v>
      </c>
      <c r="J23" s="327">
        <f>SOPL!J23/SOPL!J$13</f>
        <v>3.6442576011650275E-2</v>
      </c>
      <c r="K23" s="327">
        <f>SOPL!K23/SOPL!K$13</f>
        <v>2.8052374328551871E-2</v>
      </c>
      <c r="L23" s="327">
        <f>SOPL!L23/SOPL!L$13</f>
        <v>2.4878372818372681E-2</v>
      </c>
      <c r="M23" s="327">
        <f>SOPL!M23/SOPL!M$13</f>
        <v>2.4031736542297972E-2</v>
      </c>
      <c r="N23" s="327">
        <f>SOPL!N23/SOPL!N$13</f>
        <v>3.0270497929251843E-2</v>
      </c>
      <c r="O23" s="327">
        <f>SOPL!O23/SOPL!O$13</f>
        <v>3.4534225656019608E-2</v>
      </c>
      <c r="P23" s="333">
        <f>SOPL!P23/SOPL!P$13</f>
        <v>3.4455455833783406E-2</v>
      </c>
      <c r="Q23" s="333">
        <f>SOPL!Q23/SOPL!Q$13</f>
        <v>3.3099885645706824E-2</v>
      </c>
      <c r="R23" s="333">
        <f>SOPL!R23/SOPL!R$13</f>
        <v>3.194294556481124E-2</v>
      </c>
      <c r="S23" s="334">
        <f>SOPL!S23/SOPL!S$13</f>
        <v>3.0950787348544961E-2</v>
      </c>
    </row>
    <row r="24" spans="1:19" x14ac:dyDescent="0.3">
      <c r="B24" s="10" t="s">
        <v>22</v>
      </c>
      <c r="C24" s="18"/>
      <c r="D24" s="18"/>
      <c r="E24" s="18"/>
      <c r="F24" s="18"/>
      <c r="G24" s="18"/>
      <c r="H24" s="18"/>
      <c r="I24" s="339">
        <f>SOPL!I24/SOPL!I$13</f>
        <v>0.18235289751994552</v>
      </c>
      <c r="J24" s="340">
        <f>SOPL!J24/SOPL!J$13</f>
        <v>0.20114319716627854</v>
      </c>
      <c r="K24" s="340">
        <f>SOPL!K24/SOPL!K$13</f>
        <v>0.15007106216633767</v>
      </c>
      <c r="L24" s="340">
        <f>SOPL!L24/SOPL!L$13</f>
        <v>0.16783231787672384</v>
      </c>
      <c r="M24" s="340">
        <f>SOPL!M24/SOPL!M$13</f>
        <v>0.20904342701015047</v>
      </c>
      <c r="N24" s="340">
        <f>SOPL!N24/SOPL!N$13</f>
        <v>0.16376282162072259</v>
      </c>
      <c r="O24" s="340">
        <f>SOPL!O24/SOPL!O$13</f>
        <v>0.17398128460518544</v>
      </c>
      <c r="P24" s="341">
        <f>SOPL!P24/SOPL!P$13</f>
        <v>0.16882221483420684</v>
      </c>
      <c r="Q24" s="341">
        <f>SOPL!Q24/SOPL!Q$13</f>
        <v>0.16844481345015933</v>
      </c>
      <c r="R24" s="341">
        <f>SOPL!R24/SOPL!R$13</f>
        <v>0.16783493562887192</v>
      </c>
      <c r="S24" s="342">
        <f>SOPL!S24/SOPL!S$13</f>
        <v>0.16702658398407538</v>
      </c>
    </row>
    <row r="25" spans="1:19" x14ac:dyDescent="0.3">
      <c r="A25" s="1"/>
      <c r="B25" s="7" t="s">
        <v>20</v>
      </c>
      <c r="I25" s="326">
        <f>SOPL!I25/SOPL!I$13</f>
        <v>2.5104830230688355E-3</v>
      </c>
      <c r="J25" s="327">
        <f>SOPL!J25/SOPL!J$13</f>
        <v>1.3171959936977239E-3</v>
      </c>
      <c r="K25" s="327">
        <f>SOPL!K25/SOPL!K$13</f>
        <v>1.0848320073893658E-3</v>
      </c>
      <c r="L25" s="327">
        <f>SOPL!L25/SOPL!L$13</f>
        <v>2.7211898195896086E-3</v>
      </c>
      <c r="M25" s="327">
        <f>SOPL!M25/SOPL!M$13</f>
        <v>3.7470351232422395E-3</v>
      </c>
      <c r="N25" s="327">
        <f>SOPL!N25/SOPL!N$13</f>
        <v>4.1500494608268483E-3</v>
      </c>
      <c r="O25" s="327">
        <f>SOPL!O25/SOPL!O$13</f>
        <v>4.6535561104937848E-3</v>
      </c>
      <c r="P25" s="329">
        <f>SOPL!P25/SOPL!P$13</f>
        <v>4.7067535136199462E-3</v>
      </c>
      <c r="Q25" s="329">
        <f>SOPL!Q25/SOPL!Q$13</f>
        <v>4.7603682942094737E-3</v>
      </c>
      <c r="R25" s="329">
        <f>SOPL!R25/SOPL!R$13</f>
        <v>4.8144289333239042E-3</v>
      </c>
      <c r="S25" s="330">
        <f>SOPL!S25/SOPL!S$13</f>
        <v>4.8689610220542696E-3</v>
      </c>
    </row>
    <row r="26" spans="1:19" x14ac:dyDescent="0.3">
      <c r="B26" s="8" t="s">
        <v>16</v>
      </c>
      <c r="I26" s="326">
        <f>SOPL!I26/SOPL!I$13</f>
        <v>0</v>
      </c>
      <c r="J26" s="327">
        <f>SOPL!J26/SOPL!J$13</f>
        <v>0</v>
      </c>
      <c r="K26" s="327">
        <f>SOPL!K26/SOPL!K$13</f>
        <v>-3.9757701379458223E-3</v>
      </c>
      <c r="L26" s="327">
        <f>SOPL!L26/SOPL!L$13</f>
        <v>-1.4169903727580626E-3</v>
      </c>
      <c r="M26" s="327">
        <f>SOPL!M26/SOPL!M$13</f>
        <v>0</v>
      </c>
      <c r="N26" s="327">
        <f>SOPL!N26/SOPL!N$13</f>
        <v>-1.0709139074879031E-2</v>
      </c>
      <c r="O26" s="327">
        <f>SOPL!O26/SOPL!O$13</f>
        <v>-4.4292951179112595E-3</v>
      </c>
      <c r="P26" s="329">
        <f>SOPL!P26/SOPL!P$13</f>
        <v>0</v>
      </c>
      <c r="Q26" s="329">
        <f>SOPL!Q26/SOPL!Q$13</f>
        <v>0</v>
      </c>
      <c r="R26" s="329">
        <f>SOPL!R26/SOPL!R$13</f>
        <v>0</v>
      </c>
      <c r="S26" s="330">
        <f>SOPL!S26/SOPL!S$13</f>
        <v>0</v>
      </c>
    </row>
    <row r="27" spans="1:19" x14ac:dyDescent="0.3">
      <c r="B27" s="8" t="s">
        <v>17</v>
      </c>
      <c r="H27" s="44"/>
      <c r="I27" s="326">
        <f>SOPL!I27/SOPL!I$13</f>
        <v>5.0630218319005502E-3</v>
      </c>
      <c r="J27" s="327">
        <f>SOPL!J27/SOPL!J$13</f>
        <v>4.2200933182700148E-3</v>
      </c>
      <c r="K27" s="327">
        <f>SOPL!K27/SOPL!K$13</f>
        <v>3.2785499469439143E-3</v>
      </c>
      <c r="L27" s="327">
        <f>SOPL!L27/SOPL!L$13</f>
        <v>4.1883417095334996E-3</v>
      </c>
      <c r="M27" s="327">
        <f>SOPL!M27/SOPL!M$13</f>
        <v>5.7802947085384224E-3</v>
      </c>
      <c r="N27" s="327">
        <f>SOPL!N27/SOPL!N$13</f>
        <v>6.6956451467337858E-3</v>
      </c>
      <c r="O27" s="327">
        <f>SOPL!O27/SOPL!O$13</f>
        <v>5.4915840301442741E-3</v>
      </c>
      <c r="P27" s="329">
        <f>SOPL!P27/SOPL!P$13</f>
        <v>5.4035515669836774E-3</v>
      </c>
      <c r="Q27" s="329">
        <f>SOPL!Q27/SOPL!Q$13</f>
        <v>5.3167172570542419E-3</v>
      </c>
      <c r="R27" s="329">
        <f>SOPL!R27/SOPL!R$13</f>
        <v>5.2310992242560351E-3</v>
      </c>
      <c r="S27" s="330">
        <f>SOPL!S27/SOPL!S$13</f>
        <v>5.1467093333737732E-3</v>
      </c>
    </row>
    <row r="28" spans="1:19" x14ac:dyDescent="0.3">
      <c r="B28" s="9" t="s">
        <v>23</v>
      </c>
      <c r="C28" s="18"/>
      <c r="D28" s="18"/>
      <c r="E28" s="18"/>
      <c r="F28" s="18"/>
      <c r="G28" s="18"/>
      <c r="H28" s="18"/>
      <c r="I28" s="339">
        <f>SOPL!I28/SOPL!I$13</f>
        <v>0.1798003587111138</v>
      </c>
      <c r="J28" s="340">
        <f>SOPL!J28/SOPL!J$13</f>
        <v>0.19824029984170624</v>
      </c>
      <c r="K28" s="340">
        <f>SOPL!K28/SOPL!K$13</f>
        <v>0.1439015740888373</v>
      </c>
      <c r="L28" s="340">
        <f>SOPL!L28/SOPL!L$13</f>
        <v>0.16494817561402189</v>
      </c>
      <c r="M28" s="340">
        <f>SOPL!M28/SOPL!M$13</f>
        <v>0.20701016742485426</v>
      </c>
      <c r="N28" s="340">
        <f>SOPL!N28/SOPL!N$13</f>
        <v>0.15050808685993661</v>
      </c>
      <c r="O28" s="340">
        <f>SOPL!O28/SOPL!O$13</f>
        <v>0.16871396156762372</v>
      </c>
      <c r="P28" s="341">
        <f>SOPL!P28/SOPL!P$13</f>
        <v>0.16812541678084311</v>
      </c>
      <c r="Q28" s="341">
        <f>SOPL!Q28/SOPL!Q$13</f>
        <v>0.16788846448731456</v>
      </c>
      <c r="R28" s="341">
        <f>SOPL!R28/SOPL!R$13</f>
        <v>0.1674182653379398</v>
      </c>
      <c r="S28" s="342">
        <f>SOPL!S28/SOPL!S$13</f>
        <v>0.16674883567275586</v>
      </c>
    </row>
    <row r="29" spans="1:19" x14ac:dyDescent="0.3">
      <c r="B29" s="8" t="s">
        <v>14</v>
      </c>
      <c r="I29" s="326">
        <f>SOPL!I29/SOPL!I$13</f>
        <v>4.2295751128703075E-2</v>
      </c>
      <c r="J29" s="327">
        <f>SOPL!J29/SOPL!J$13</f>
        <v>5.05508504434483E-2</v>
      </c>
      <c r="K29" s="327">
        <f>SOPL!K29/SOPL!K$13</f>
        <v>3.7899020249281136E-2</v>
      </c>
      <c r="L29" s="327">
        <f>SOPL!L29/SOPL!L$13</f>
        <v>4.3304176830656162E-2</v>
      </c>
      <c r="M29" s="327">
        <f>SOPL!M29/SOPL!M$13</f>
        <v>5.0432275439199009E-2</v>
      </c>
      <c r="N29" s="327">
        <f>SOPL!N29/SOPL!N$13</f>
        <v>4.1095252055558924E-2</v>
      </c>
      <c r="O29" s="327">
        <f>SOPL!O29/SOPL!O$13</f>
        <v>4.5210510252774172E-2</v>
      </c>
      <c r="P29" s="329">
        <f>SOPL!P29/SOPL!P$13</f>
        <v>4.5052797104023913E-2</v>
      </c>
      <c r="Q29" s="329">
        <f>SOPL!Q29/SOPL!Q$13</f>
        <v>4.4989300674940905E-2</v>
      </c>
      <c r="R29" s="329">
        <f>SOPL!R29/SOPL!R$13</f>
        <v>4.4863300767961467E-2</v>
      </c>
      <c r="S29" s="330">
        <f>SOPL!S29/SOPL!S$13</f>
        <v>4.4683912788092486E-2</v>
      </c>
    </row>
    <row r="30" spans="1:19" x14ac:dyDescent="0.3">
      <c r="B30" s="8" t="s">
        <v>95</v>
      </c>
      <c r="I30" s="326">
        <f>SOPL!I30/SOPL!I$13</f>
        <v>-2.4491310532500466E-4</v>
      </c>
      <c r="J30" s="327">
        <f>SOPL!J30/SOPL!J$13</f>
        <v>0</v>
      </c>
      <c r="K30" s="327">
        <f>SOPL!K30/SOPL!K$13</f>
        <v>0</v>
      </c>
      <c r="L30" s="327">
        <f>SOPL!L30/SOPL!L$13</f>
        <v>0</v>
      </c>
      <c r="M30" s="327">
        <f>SOPL!M30/SOPL!M$13</f>
        <v>0</v>
      </c>
      <c r="N30" s="327">
        <f>SOPL!N30/SOPL!N$13</f>
        <v>0</v>
      </c>
      <c r="O30" s="327">
        <f>SOPL!O30/SOPL!O$13</f>
        <v>0</v>
      </c>
      <c r="P30" s="329">
        <f>SOPL!P30/SOPL!P$13</f>
        <v>0</v>
      </c>
      <c r="Q30" s="329">
        <f>SOPL!Q30/SOPL!Q$13</f>
        <v>0</v>
      </c>
      <c r="R30" s="329">
        <f>SOPL!R30/SOPL!R$13</f>
        <v>0</v>
      </c>
      <c r="S30" s="330">
        <f>SOPL!S30/SOPL!S$13</f>
        <v>0</v>
      </c>
    </row>
    <row r="31" spans="1:19" x14ac:dyDescent="0.3">
      <c r="B31" s="10" t="s">
        <v>19</v>
      </c>
      <c r="C31" s="18"/>
      <c r="D31" s="90"/>
      <c r="E31" s="90"/>
      <c r="F31" s="90"/>
      <c r="G31" s="90"/>
      <c r="H31" s="90"/>
      <c r="I31" s="339">
        <f>SOPL!I31/SOPL!I$13</f>
        <v>0.13725969447708575</v>
      </c>
      <c r="J31" s="340">
        <f>SOPL!J31/SOPL!J$13</f>
        <v>0.14768944939825795</v>
      </c>
      <c r="K31" s="340">
        <f>SOPL!K31/SOPL!K$13</f>
        <v>0.10600255383955619</v>
      </c>
      <c r="L31" s="340">
        <f>SOPL!L31/SOPL!L$13</f>
        <v>0.12164399878336572</v>
      </c>
      <c r="M31" s="340">
        <f>SOPL!M31/SOPL!M$13</f>
        <v>0.15657789198565528</v>
      </c>
      <c r="N31" s="340">
        <f>SOPL!N31/SOPL!N$13</f>
        <v>0.10941283480437769</v>
      </c>
      <c r="O31" s="340">
        <f>SOPL!O31/SOPL!O$13</f>
        <v>0.12350345131484955</v>
      </c>
      <c r="P31" s="341">
        <f>SOPL!P31/SOPL!P$13</f>
        <v>0.12307261967681919</v>
      </c>
      <c r="Q31" s="341">
        <f>SOPL!Q31/SOPL!Q$13</f>
        <v>0.12289916381237365</v>
      </c>
      <c r="R31" s="341">
        <f>SOPL!R31/SOPL!R$13</f>
        <v>0.12255496456997832</v>
      </c>
      <c r="S31" s="342">
        <f>SOPL!S31/SOPL!S$13</f>
        <v>0.12206492288466338</v>
      </c>
    </row>
    <row r="32" spans="1:19" ht="15" thickBot="1" x14ac:dyDescent="0.35">
      <c r="B32" s="1"/>
      <c r="C32" s="1"/>
      <c r="D32" s="1"/>
      <c r="E32" s="1"/>
      <c r="F32" s="1"/>
      <c r="G32" s="1"/>
      <c r="H32" s="1"/>
      <c r="I32" s="89"/>
      <c r="J32" s="89"/>
      <c r="K32" s="89"/>
      <c r="L32" s="89"/>
      <c r="M32" s="89"/>
      <c r="N32" s="89"/>
      <c r="O32" s="89"/>
      <c r="P32" s="266"/>
      <c r="Q32" s="266"/>
      <c r="R32" s="266"/>
      <c r="S32" s="266"/>
    </row>
    <row r="33" spans="1:20" ht="22.2" thickTop="1" thickBot="1" x14ac:dyDescent="0.45">
      <c r="B33" s="523" t="s">
        <v>293</v>
      </c>
      <c r="C33" s="523"/>
      <c r="D33" s="523"/>
      <c r="E33" s="523"/>
      <c r="F33" s="523"/>
      <c r="G33" s="523"/>
      <c r="H33" s="523"/>
      <c r="I33" s="523"/>
      <c r="J33" s="523"/>
      <c r="K33" s="523"/>
      <c r="L33" s="523"/>
      <c r="M33" s="523"/>
      <c r="N33" s="523"/>
      <c r="O33" s="523"/>
      <c r="P33" s="523"/>
      <c r="Q33" s="523"/>
      <c r="R33" s="523"/>
      <c r="S33" s="523"/>
      <c r="T33" s="351"/>
    </row>
    <row r="34" spans="1:20" ht="15" thickTop="1" x14ac:dyDescent="0.3">
      <c r="B34" s="1"/>
    </row>
    <row r="35" spans="1:20" ht="15" thickBot="1" x14ac:dyDescent="0.35">
      <c r="A35" s="1"/>
      <c r="B35" s="13"/>
      <c r="C35" s="12"/>
      <c r="D35" s="12"/>
      <c r="E35" s="12"/>
      <c r="F35" s="12"/>
      <c r="G35" s="12"/>
      <c r="H35" s="20"/>
      <c r="I35" s="565" t="s">
        <v>299</v>
      </c>
      <c r="J35" s="566"/>
      <c r="K35" s="566"/>
      <c r="L35" s="566"/>
      <c r="M35" s="566"/>
      <c r="N35" s="566"/>
      <c r="O35" s="566"/>
      <c r="P35" s="517" t="s">
        <v>21</v>
      </c>
      <c r="Q35" s="517"/>
      <c r="R35" s="517"/>
      <c r="S35" s="517"/>
      <c r="T35" s="7"/>
    </row>
    <row r="36" spans="1:20" ht="16.2" thickTop="1" x14ac:dyDescent="0.3">
      <c r="B36" s="14" t="s">
        <v>18</v>
      </c>
      <c r="C36" s="15"/>
      <c r="D36" s="15"/>
      <c r="E36" s="15"/>
      <c r="F36" s="15"/>
      <c r="G36" s="15"/>
      <c r="H36" s="21"/>
      <c r="I36" s="29">
        <f>J36-1</f>
        <v>20</v>
      </c>
      <c r="J36" s="29">
        <v>21</v>
      </c>
      <c r="K36" s="29">
        <f t="shared" ref="K36:S36" si="1">J36+1</f>
        <v>22</v>
      </c>
      <c r="L36" s="29">
        <f t="shared" si="1"/>
        <v>23</v>
      </c>
      <c r="M36" s="29">
        <f t="shared" si="1"/>
        <v>24</v>
      </c>
      <c r="N36" s="29">
        <f t="shared" si="1"/>
        <v>25</v>
      </c>
      <c r="O36" s="29">
        <f t="shared" si="1"/>
        <v>26</v>
      </c>
      <c r="P36" s="30">
        <f t="shared" si="1"/>
        <v>27</v>
      </c>
      <c r="Q36" s="30">
        <f t="shared" si="1"/>
        <v>28</v>
      </c>
      <c r="R36" s="30">
        <f t="shared" si="1"/>
        <v>29</v>
      </c>
      <c r="S36" s="30">
        <f t="shared" si="1"/>
        <v>30</v>
      </c>
      <c r="T36" s="343"/>
    </row>
    <row r="37" spans="1:20" ht="4.8" customHeight="1" x14ac:dyDescent="0.3">
      <c r="B37" s="7"/>
      <c r="H37" s="11"/>
      <c r="J37" s="23"/>
      <c r="K37" s="23"/>
      <c r="L37" s="23"/>
      <c r="M37" s="23"/>
      <c r="N37" s="23"/>
      <c r="O37" s="23"/>
      <c r="P37" s="23"/>
      <c r="Q37" s="23"/>
      <c r="R37" s="23"/>
      <c r="S37" s="28"/>
      <c r="T37" s="7"/>
    </row>
    <row r="38" spans="1:20" ht="18" x14ac:dyDescent="0.35">
      <c r="B38" s="567" t="s">
        <v>37</v>
      </c>
      <c r="C38" s="568"/>
      <c r="D38" s="568"/>
      <c r="E38" s="568"/>
      <c r="F38" s="568"/>
      <c r="G38" s="568"/>
      <c r="H38" s="11"/>
      <c r="I38" s="344"/>
      <c r="J38" s="345"/>
      <c r="K38" s="345"/>
      <c r="L38" s="345"/>
      <c r="M38" s="345"/>
      <c r="N38" s="345"/>
      <c r="O38" s="345"/>
      <c r="P38" s="347"/>
      <c r="Q38" s="347"/>
      <c r="R38" s="347"/>
      <c r="S38" s="347"/>
      <c r="T38" s="7"/>
    </row>
    <row r="39" spans="1:20" x14ac:dyDescent="0.3">
      <c r="B39" s="41" t="s">
        <v>38</v>
      </c>
      <c r="H39" s="11"/>
      <c r="I39" s="344"/>
      <c r="J39" s="345"/>
      <c r="K39" s="345"/>
      <c r="L39" s="345"/>
      <c r="M39" s="345"/>
      <c r="N39" s="345"/>
      <c r="O39" s="345"/>
      <c r="P39" s="347"/>
      <c r="Q39" s="347"/>
      <c r="R39" s="347"/>
      <c r="S39" s="347"/>
      <c r="T39" s="7"/>
    </row>
    <row r="40" spans="1:20" x14ac:dyDescent="0.3">
      <c r="B40" s="49" t="s">
        <v>39</v>
      </c>
      <c r="H40" s="11"/>
      <c r="I40" s="348">
        <f>'SOFP '!I13/'SOFP '!I$34</f>
        <v>0.294944465318912</v>
      </c>
      <c r="J40" s="349">
        <f>'SOFP '!J13/'SOFP '!J$34</f>
        <v>0.21975618592786711</v>
      </c>
      <c r="K40" s="349">
        <f>'SOFP '!K13/'SOFP '!K$34</f>
        <v>0.18205612925260339</v>
      </c>
      <c r="L40" s="349">
        <f>'SOFP '!L13/'SOFP '!L$34</f>
        <v>0.16069656562524226</v>
      </c>
      <c r="M40" s="349">
        <f>'SOFP '!M13/'SOFP '!M$34</f>
        <v>0.14858263024873938</v>
      </c>
      <c r="N40" s="349">
        <f>'SOFP '!N13/'SOFP '!N$34</f>
        <v>0.2234874488704329</v>
      </c>
      <c r="O40" s="349">
        <f>'SOFP '!O13/'SOFP '!O$34</f>
        <v>0.20693023119785461</v>
      </c>
      <c r="P40" s="350">
        <f>'SOFP '!P13/'SOFP '!P$34</f>
        <v>0.19372107985172554</v>
      </c>
      <c r="Q40" s="350">
        <f>'SOFP '!Q13/'SOFP '!Q$34</f>
        <v>0.18394556930509343</v>
      </c>
      <c r="R40" s="350">
        <f>'SOFP '!R13/'SOFP '!R$34</f>
        <v>0.17577546012834006</v>
      </c>
      <c r="S40" s="350">
        <f>'SOFP '!S13/'SOFP '!S$34</f>
        <v>0.16893513311599548</v>
      </c>
      <c r="T40" s="7"/>
    </row>
    <row r="41" spans="1:20" x14ac:dyDescent="0.3">
      <c r="B41" s="49" t="s">
        <v>116</v>
      </c>
      <c r="H41" s="11"/>
      <c r="I41" s="348">
        <f>'SOFP '!I14/'SOFP '!I$34</f>
        <v>5.6954695114817482E-2</v>
      </c>
      <c r="J41" s="349">
        <f>'SOFP '!J14/'SOFP '!J$34</f>
        <v>4.1510347272064964E-2</v>
      </c>
      <c r="K41" s="349">
        <f>'SOFP '!K14/'SOFP '!K$34</f>
        <v>3.940707739362917E-2</v>
      </c>
      <c r="L41" s="349">
        <f>'SOFP '!L14/'SOFP '!L$34</f>
        <v>4.6860996976509812E-2</v>
      </c>
      <c r="M41" s="349">
        <f>'SOFP '!M14/'SOFP '!M$34</f>
        <v>6.2032629897851528E-2</v>
      </c>
      <c r="N41" s="349">
        <f>'SOFP '!N14/'SOFP '!N$34</f>
        <v>6.0705855547510693E-2</v>
      </c>
      <c r="O41" s="349">
        <f>'SOFP '!O14/'SOFP '!O$34</f>
        <v>5.8456632774944693E-2</v>
      </c>
      <c r="P41" s="329">
        <f>'SOFP '!P14/'SOFP '!P$34</f>
        <v>5.720827646476262E-2</v>
      </c>
      <c r="Q41" s="329">
        <f>'SOFP '!Q14/'SOFP '!Q$34</f>
        <v>5.6342672043083145E-2</v>
      </c>
      <c r="R41" s="329">
        <f>'SOFP '!R14/'SOFP '!R$34</f>
        <v>5.5440880327199078E-2</v>
      </c>
      <c r="S41" s="329">
        <f>'SOFP '!S14/'SOFP '!S$34</f>
        <v>5.45077203259575E-2</v>
      </c>
      <c r="T41" s="7"/>
    </row>
    <row r="42" spans="1:20" x14ac:dyDescent="0.3">
      <c r="B42" s="7" t="s">
        <v>117</v>
      </c>
      <c r="H42" s="11"/>
      <c r="I42" s="348">
        <f>'SOFP '!I15/'SOFP '!I$34</f>
        <v>8.6810273374365587E-3</v>
      </c>
      <c r="J42" s="349">
        <f>'SOFP '!J15/'SOFP '!J$34</f>
        <v>8.9829854459729727E-3</v>
      </c>
      <c r="K42" s="327">
        <f>'SOFP '!K15/'SOFP '!K$34</f>
        <v>1.8552978209180556E-2</v>
      </c>
      <c r="L42" s="349">
        <f>'SOFP '!L15/'SOFP '!L$34</f>
        <v>3.952205597333127E-2</v>
      </c>
      <c r="M42" s="349">
        <f>'SOFP '!M15/'SOFP '!M$34</f>
        <v>9.0173836531035695E-2</v>
      </c>
      <c r="N42" s="349">
        <f>'SOFP '!N15/'SOFP '!N$34</f>
        <v>4.1305018509207848E-2</v>
      </c>
      <c r="O42" s="349">
        <f>'SOFP '!O15/'SOFP '!O$34</f>
        <v>5.353112207535133E-2</v>
      </c>
      <c r="P42" s="329">
        <f>'SOFP '!P15/'SOFP '!P$34</f>
        <v>4.8879100194085132E-2</v>
      </c>
      <c r="Q42" s="329">
        <f>'SOFP '!Q15/'SOFP '!Q$34</f>
        <v>4.6412573784966986E-2</v>
      </c>
      <c r="R42" s="329">
        <f>'SOFP '!R15/'SOFP '!R$34</f>
        <v>4.435111725502814E-2</v>
      </c>
      <c r="S42" s="329">
        <f>'SOFP '!S15/'SOFP '!S$34</f>
        <v>4.2625187223806919E-2</v>
      </c>
      <c r="T42" s="7"/>
    </row>
    <row r="43" spans="1:20" x14ac:dyDescent="0.3">
      <c r="B43" s="8" t="s">
        <v>192</v>
      </c>
      <c r="H43" s="11"/>
      <c r="I43" s="348">
        <f>'SOFP '!I16/'SOFP '!I$34</f>
        <v>3.6364491725973197E-2</v>
      </c>
      <c r="J43" s="349">
        <f>'SOFP '!J16/'SOFP '!J$34</f>
        <v>2.6344134058465501E-2</v>
      </c>
      <c r="K43" s="349">
        <f>'SOFP '!K16/'SOFP '!K$34</f>
        <v>1.8658266784717496E-2</v>
      </c>
      <c r="L43" s="349">
        <f>'SOFP '!L16/'SOFP '!L$34</f>
        <v>1.6121017133111093E-2</v>
      </c>
      <c r="M43" s="349">
        <f>'SOFP '!M16/'SOFP '!M$34</f>
        <v>2.8209713311248562E-2</v>
      </c>
      <c r="N43" s="327">
        <f>'SOFP '!N16/'SOFP '!N$34</f>
        <v>1.9385361937904019E-2</v>
      </c>
      <c r="O43" s="349">
        <f>'SOFP '!O16/'SOFP '!O$34</f>
        <v>1.3762473399780912E-2</v>
      </c>
      <c r="P43" s="329">
        <f>'SOFP '!P16/'SOFP '!P$34</f>
        <v>1.8276367928475552E-2</v>
      </c>
      <c r="Q43" s="329">
        <f>'SOFP '!Q16/'SOFP '!Q$34</f>
        <v>1.8608049764868177E-2</v>
      </c>
      <c r="R43" s="329">
        <f>'SOFP '!R16/'SOFP '!R$34</f>
        <v>1.8957658559257077E-2</v>
      </c>
      <c r="S43" s="329">
        <f>'SOFP '!S16/'SOFP '!S$34</f>
        <v>1.9318115817606837E-2</v>
      </c>
      <c r="T43" s="7"/>
    </row>
    <row r="44" spans="1:20" x14ac:dyDescent="0.3">
      <c r="B44" s="8" t="s">
        <v>40</v>
      </c>
      <c r="H44" s="11"/>
      <c r="I44" s="348">
        <f>'SOFP '!I17/'SOFP '!I$34</f>
        <v>2.8265954885151566E-2</v>
      </c>
      <c r="J44" s="349">
        <f>'SOFP '!J17/'SOFP '!J$34</f>
        <v>2.3755965992492741E-2</v>
      </c>
      <c r="K44" s="349">
        <f>'SOFP '!K17/'SOFP '!K$34</f>
        <v>2.2426901666126448E-2</v>
      </c>
      <c r="L44" s="349">
        <f>'SOFP '!L17/'SOFP '!L$34</f>
        <v>3.0301961392355997E-2</v>
      </c>
      <c r="M44" s="349">
        <f>'SOFP '!M17/'SOFP '!M$34</f>
        <v>1.9486975209605371E-2</v>
      </c>
      <c r="N44" s="349">
        <f>'SOFP '!N17/'SOFP '!N$34</f>
        <v>2.0018853281890146E-2</v>
      </c>
      <c r="O44" s="349">
        <f>'SOFP '!O17/'SOFP '!O$34</f>
        <v>1.8998108847126452E-2</v>
      </c>
      <c r="P44" s="329">
        <f>'SOFP '!P17/'SOFP '!P$34</f>
        <v>1.8413209313442265E-2</v>
      </c>
      <c r="Q44" s="329">
        <f>'SOFP '!Q17/'SOFP '!Q$34</f>
        <v>1.7959825631932914E-2</v>
      </c>
      <c r="R44" s="329">
        <f>'SOFP '!R17/'SOFP '!R$34</f>
        <v>1.7502046937214143E-2</v>
      </c>
      <c r="S44" s="329">
        <f>'SOFP '!S17/'SOFP '!S$34</f>
        <v>1.7041616804588124E-2</v>
      </c>
      <c r="T44" s="7"/>
    </row>
    <row r="45" spans="1:20" x14ac:dyDescent="0.3">
      <c r="B45" s="7" t="s">
        <v>41</v>
      </c>
      <c r="H45" s="11"/>
      <c r="I45" s="348">
        <f>'SOFP '!I18/'SOFP '!I$34</f>
        <v>8.483562440071879E-2</v>
      </c>
      <c r="J45" s="349">
        <f>'SOFP '!J18/'SOFP '!J$34</f>
        <v>7.7700516749944284E-2</v>
      </c>
      <c r="K45" s="349">
        <f>'SOFP '!K18/'SOFP '!K$34</f>
        <v>4.5239716416968861E-2</v>
      </c>
      <c r="L45" s="349">
        <f>'SOFP '!L18/'SOFP '!L$34</f>
        <v>4.4512365299635627E-2</v>
      </c>
      <c r="M45" s="349">
        <f>'SOFP '!M18/'SOFP '!M$34</f>
        <v>4.7108199447334909E-2</v>
      </c>
      <c r="N45" s="349">
        <f>'SOFP '!N18/'SOFP '!N$34</f>
        <v>5.7894655394208426E-2</v>
      </c>
      <c r="O45" s="349">
        <f>'SOFP '!O18/'SOFP '!O$34</f>
        <v>4.8199350851858523E-2</v>
      </c>
      <c r="P45" s="329">
        <f>'SOFP '!P18/'SOFP '!P$34</f>
        <v>4.8630633807092996E-2</v>
      </c>
      <c r="Q45" s="329">
        <f>'SOFP '!Q18/'SOFP '!Q$34</f>
        <v>4.9377850191584867E-2</v>
      </c>
      <c r="R45" s="329">
        <f>'SOFP '!R18/'SOFP '!R$34</f>
        <v>5.0092018023027082E-2</v>
      </c>
      <c r="S45" s="329">
        <f>'SOFP '!S18/'SOFP '!S$34</f>
        <v>5.0773850703370343E-2</v>
      </c>
      <c r="T45" s="7"/>
    </row>
    <row r="46" spans="1:20" x14ac:dyDescent="0.3">
      <c r="B46" s="7" t="s">
        <v>42</v>
      </c>
      <c r="H46" s="11"/>
      <c r="I46" s="348">
        <f>'SOFP '!I19/'SOFP '!I$34</f>
        <v>1.039940525306148E-3</v>
      </c>
      <c r="J46" s="349">
        <f>'SOFP '!J19/'SOFP '!J$34</f>
        <v>7.01044005730102E-4</v>
      </c>
      <c r="K46" s="349">
        <f>'SOFP '!K19/'SOFP '!K$34</f>
        <v>1.1320697254013038E-3</v>
      </c>
      <c r="L46" s="349">
        <f>'SOFP '!L19/'SOFP '!L$34</f>
        <v>7.2369951159004578E-4</v>
      </c>
      <c r="M46" s="349">
        <f>'SOFP '!M19/'SOFP '!M$34</f>
        <v>7.7930523534717349E-4</v>
      </c>
      <c r="N46" s="349">
        <f>'SOFP '!N19/'SOFP '!N$34</f>
        <v>5.3076301793432434E-4</v>
      </c>
      <c r="O46" s="349">
        <f>'SOFP '!O19/'SOFP '!O$34</f>
        <v>4.5577623992709888E-4</v>
      </c>
      <c r="P46" s="329">
        <f>'SOFP '!P19/'SOFP '!P$34</f>
        <v>4.2181451565734144E-4</v>
      </c>
      <c r="Q46" s="329">
        <f>'SOFP '!Q19/'SOFP '!Q$34</f>
        <v>3.9286638229256313E-4</v>
      </c>
      <c r="R46" s="329">
        <f>'SOFP '!R19/'SOFP '!R$34</f>
        <v>3.6557990619780093E-4</v>
      </c>
      <c r="S46" s="329">
        <f>'SOFP '!S19/'SOFP '!S$34</f>
        <v>3.3990299361086747E-4</v>
      </c>
      <c r="T46" s="7"/>
    </row>
    <row r="47" spans="1:20" x14ac:dyDescent="0.3">
      <c r="B47" s="7" t="s">
        <v>44</v>
      </c>
      <c r="H47" s="11"/>
      <c r="I47" s="348">
        <f>'SOFP '!I20/'SOFP '!I$34</f>
        <v>1.5666580211293631E-2</v>
      </c>
      <c r="J47" s="349">
        <f>'SOFP '!J20/'SOFP '!J$34</f>
        <v>7.4733843832138248E-3</v>
      </c>
      <c r="K47" s="349">
        <f>'SOFP '!K20/'SOFP '!K$34</f>
        <v>7.5033337756613711E-3</v>
      </c>
      <c r="L47" s="349">
        <f>'SOFP '!L20/'SOFP '!L$34</f>
        <v>7.3463059151872246E-3</v>
      </c>
      <c r="M47" s="349">
        <f>'SOFP '!M20/'SOFP '!M$34</f>
        <v>6.6204185323597148E-3</v>
      </c>
      <c r="N47" s="349">
        <f>'SOFP '!N20/'SOFP '!N$34</f>
        <v>7.297003724231076E-3</v>
      </c>
      <c r="O47" s="349">
        <f>'SOFP '!O20/'SOFP '!O$34</f>
        <v>7.1991797185943663E-3</v>
      </c>
      <c r="P47" s="329">
        <f>'SOFP '!P20/'SOFP '!P$34</f>
        <v>7.2277929113441558E-3</v>
      </c>
      <c r="Q47" s="329">
        <f>'SOFP '!Q20/'SOFP '!Q$34</f>
        <v>7.3026736625491856E-3</v>
      </c>
      <c r="R47" s="329">
        <f>'SOFP '!R20/'SOFP '!R$34</f>
        <v>7.3717769961506733E-3</v>
      </c>
      <c r="S47" s="329">
        <f>'SOFP '!S20/'SOFP '!S$34</f>
        <v>7.4352864938393558E-3</v>
      </c>
      <c r="T47" s="7"/>
    </row>
    <row r="48" spans="1:20" x14ac:dyDescent="0.3">
      <c r="B48" s="8" t="s">
        <v>43</v>
      </c>
      <c r="H48" s="11"/>
      <c r="I48" s="348">
        <f>'SOFP '!I21/'SOFP '!I$34</f>
        <v>4.0291505233438791E-3</v>
      </c>
      <c r="J48" s="349">
        <f>'SOFP '!J21/'SOFP '!J$34</f>
        <v>3.3569600218364406E-3</v>
      </c>
      <c r="K48" s="349">
        <f>'SOFP '!K21/'SOFP '!K$34</f>
        <v>5.7808648890880577E-3</v>
      </c>
      <c r="L48" s="349">
        <f>'SOFP '!L21/'SOFP '!L$34</f>
        <v>1.2967671912551361E-2</v>
      </c>
      <c r="M48" s="349">
        <f>'SOFP '!M21/'SOFP '!M$34</f>
        <v>1.0954719090872939E-2</v>
      </c>
      <c r="N48" s="349">
        <f>'SOFP '!N21/'SOFP '!N$34</f>
        <v>9.9113079192673873E-3</v>
      </c>
      <c r="O48" s="349">
        <f>'SOFP '!O21/'SOFP '!O$34</f>
        <v>7.9894042159012624E-3</v>
      </c>
      <c r="P48" s="329">
        <f>'SOFP '!P21/'SOFP '!P$34</f>
        <v>7.7300457274162501E-3</v>
      </c>
      <c r="Q48" s="329">
        <f>'SOFP '!Q21/'SOFP '!Q$34</f>
        <v>7.5266763040951166E-3</v>
      </c>
      <c r="R48" s="329">
        <f>'SOFP '!R21/'SOFP '!R$34</f>
        <v>7.3221482448963641E-3</v>
      </c>
      <c r="S48" s="329">
        <f>'SOFP '!S21/'SOFP '!S$34</f>
        <v>7.1171975226963034E-3</v>
      </c>
      <c r="T48" s="7"/>
    </row>
    <row r="49" spans="2:20" x14ac:dyDescent="0.3">
      <c r="B49" s="9" t="s">
        <v>50</v>
      </c>
      <c r="C49" s="18"/>
      <c r="D49" s="18"/>
      <c r="E49" s="18"/>
      <c r="F49" s="18"/>
      <c r="G49" s="18"/>
      <c r="H49" s="19"/>
      <c r="I49" s="340">
        <f>'SOFP '!I22/'SOFP '!I$34</f>
        <v>0.53078193004295326</v>
      </c>
      <c r="J49" s="340">
        <f>'SOFP '!J22/'SOFP '!J$34</f>
        <v>0.40958152385758789</v>
      </c>
      <c r="K49" s="340">
        <f>'SOFP '!K22/'SOFP '!K$34</f>
        <v>0.34075733811337666</v>
      </c>
      <c r="L49" s="340">
        <f>'SOFP '!L22/'SOFP '!L$34</f>
        <v>0.35905263973951479</v>
      </c>
      <c r="M49" s="340">
        <f>'SOFP '!M22/'SOFP '!M$34</f>
        <v>0.41394842750439526</v>
      </c>
      <c r="N49" s="340">
        <f>'SOFP '!N22/'SOFP '!N$34</f>
        <v>0.4405362682025869</v>
      </c>
      <c r="O49" s="340">
        <f>'SOFP '!O22/'SOFP '!O$34</f>
        <v>0.41552227932133934</v>
      </c>
      <c r="P49" s="341">
        <f>'SOFP '!P22/'SOFP '!P$34</f>
        <v>0.40050832071400183</v>
      </c>
      <c r="Q49" s="341">
        <f>'SOFP '!Q22/'SOFP '!Q$34</f>
        <v>0.38786875707046636</v>
      </c>
      <c r="R49" s="341">
        <f>'SOFP '!R22/'SOFP '!R$34</f>
        <v>0.37717868637731045</v>
      </c>
      <c r="S49" s="341">
        <f>'SOFP '!S22/'SOFP '!S$34</f>
        <v>0.36809401100147171</v>
      </c>
      <c r="T49" s="7"/>
    </row>
    <row r="50" spans="2:20" x14ac:dyDescent="0.3">
      <c r="B50" s="7"/>
      <c r="H50" s="11"/>
      <c r="I50" s="348"/>
      <c r="J50" s="327"/>
      <c r="K50" s="327"/>
      <c r="L50" s="327"/>
      <c r="M50" s="327"/>
      <c r="N50" s="327"/>
      <c r="O50" s="327"/>
      <c r="P50" s="329"/>
      <c r="Q50" s="329"/>
      <c r="R50" s="329"/>
      <c r="S50" s="329"/>
      <c r="T50" s="7"/>
    </row>
    <row r="51" spans="2:20" x14ac:dyDescent="0.3">
      <c r="B51" s="22" t="s">
        <v>45</v>
      </c>
      <c r="H51" s="11"/>
      <c r="I51" s="348"/>
      <c r="J51" s="349"/>
      <c r="K51" s="349"/>
      <c r="L51" s="349"/>
      <c r="M51" s="349"/>
      <c r="N51" s="349"/>
      <c r="O51" s="349"/>
      <c r="P51" s="329"/>
      <c r="Q51" s="329"/>
      <c r="R51" s="329"/>
      <c r="S51" s="329"/>
      <c r="T51" s="7"/>
    </row>
    <row r="52" spans="2:20" x14ac:dyDescent="0.3">
      <c r="B52" s="49" t="s">
        <v>46</v>
      </c>
      <c r="H52" s="11"/>
      <c r="I52" s="348">
        <f>'SOFP '!I25/'SOFP '!I$34</f>
        <v>0.20983338048143055</v>
      </c>
      <c r="J52" s="349">
        <f>'SOFP '!J25/'SOFP '!J$34</f>
        <v>0.1864835966503057</v>
      </c>
      <c r="K52" s="349">
        <f>'SOFP '!K25/'SOFP '!K$34</f>
        <v>0.26770185930052709</v>
      </c>
      <c r="L52" s="349">
        <f>'SOFP '!L25/'SOFP '!L$34</f>
        <v>0.24074114272424221</v>
      </c>
      <c r="M52" s="349">
        <f>'SOFP '!M25/'SOFP '!M$34</f>
        <v>0.19794787410410808</v>
      </c>
      <c r="N52" s="349">
        <f>'SOFP '!N25/'SOFP '!N$34</f>
        <v>0.22123697416349675</v>
      </c>
      <c r="O52" s="349">
        <f>'SOFP '!O25/'SOFP '!O$34</f>
        <v>0.16631749882508759</v>
      </c>
      <c r="P52" s="329">
        <f>'SOFP '!P25/'SOFP '!P$34</f>
        <v>0.17802871471400461</v>
      </c>
      <c r="Q52" s="329">
        <f>'SOFP '!Q25/'SOFP '!Q$34</f>
        <v>0.17864424645686661</v>
      </c>
      <c r="R52" s="329">
        <f>'SOFP '!R25/'SOFP '!R$34</f>
        <v>0.17910882518791607</v>
      </c>
      <c r="S52" s="329">
        <f>'SOFP '!S25/'SOFP '!S$34</f>
        <v>0.17942909596096326</v>
      </c>
      <c r="T52" s="7"/>
    </row>
    <row r="53" spans="2:20" x14ac:dyDescent="0.3">
      <c r="B53" s="8" t="s">
        <v>41</v>
      </c>
      <c r="H53" s="11"/>
      <c r="I53" s="348">
        <f>'SOFP '!I26/'SOFP '!I$34</f>
        <v>0</v>
      </c>
      <c r="J53" s="349">
        <f>'SOFP '!J26/'SOFP '!J$34</f>
        <v>0</v>
      </c>
      <c r="K53" s="349">
        <f>'SOFP '!K26/'SOFP '!K$34</f>
        <v>0</v>
      </c>
      <c r="L53" s="349">
        <f>'SOFP '!L26/'SOFP '!L$34</f>
        <v>0</v>
      </c>
      <c r="M53" s="349">
        <f>'SOFP '!M26/'SOFP '!M$34</f>
        <v>0</v>
      </c>
      <c r="N53" s="349">
        <f>'SOFP '!N26/'SOFP '!N$34</f>
        <v>0</v>
      </c>
      <c r="O53" s="349">
        <f>'SOFP '!O26/'SOFP '!O$34</f>
        <v>0</v>
      </c>
      <c r="P53" s="329">
        <f>'SOFP '!P26/'SOFP '!P$34</f>
        <v>0</v>
      </c>
      <c r="Q53" s="329">
        <f>'SOFP '!Q26/'SOFP '!Q$34</f>
        <v>0</v>
      </c>
      <c r="R53" s="329">
        <f>'SOFP '!R26/'SOFP '!R$34</f>
        <v>0</v>
      </c>
      <c r="S53" s="329">
        <f>'SOFP '!S26/'SOFP '!S$34</f>
        <v>0</v>
      </c>
      <c r="T53" s="7"/>
    </row>
    <row r="54" spans="2:20" x14ac:dyDescent="0.3">
      <c r="B54" s="49" t="s">
        <v>75</v>
      </c>
      <c r="H54" s="11"/>
      <c r="I54" s="348">
        <f>'SOFP '!I27/'SOFP '!I$34</f>
        <v>0.11112631130000612</v>
      </c>
      <c r="J54" s="348">
        <f>'SOFP '!J27/'SOFP '!J$34</f>
        <v>0.12774759666601537</v>
      </c>
      <c r="K54" s="348">
        <f>'SOFP '!K27/'SOFP '!K$34</f>
        <v>0.16843735656063122</v>
      </c>
      <c r="L54" s="348">
        <f>'SOFP '!L27/'SOFP '!L$34</f>
        <v>0.17974028994495697</v>
      </c>
      <c r="M54" s="348">
        <f>'SOFP '!M27/'SOFP '!M$34</f>
        <v>0.16338174360523577</v>
      </c>
      <c r="N54" s="348">
        <f>'SOFP '!N27/'SOFP '!N$34</f>
        <v>0.14203014220300234</v>
      </c>
      <c r="O54" s="348">
        <f>'SOFP '!O27/'SOFP '!O$34</f>
        <v>0.12919837530538308</v>
      </c>
      <c r="P54" s="350">
        <f>'SOFP '!P27/'SOFP '!P$34</f>
        <v>0.13070656045192428</v>
      </c>
      <c r="Q54" s="350">
        <f>'SOFP '!Q27/'SOFP '!Q$34</f>
        <v>0.13115847652112531</v>
      </c>
      <c r="R54" s="350">
        <f>'SOFP '!R27/'SOFP '!R$34</f>
        <v>0.13149956468823443</v>
      </c>
      <c r="S54" s="350">
        <f>'SOFP '!S27/'SOFP '!S$34</f>
        <v>0.13173470367255796</v>
      </c>
      <c r="T54" s="7"/>
    </row>
    <row r="55" spans="2:20" x14ac:dyDescent="0.3">
      <c r="B55" s="49" t="s">
        <v>73</v>
      </c>
      <c r="H55" s="11"/>
      <c r="I55" s="348">
        <f>'SOFP '!I28/'SOFP '!I$34</f>
        <v>3.4901765856152706E-2</v>
      </c>
      <c r="J55" s="349">
        <f>'SOFP '!J28/'SOFP '!J$34</f>
        <v>1.7005226410703785E-2</v>
      </c>
      <c r="K55" s="349">
        <f>'SOFP '!K28/'SOFP '!K$34</f>
        <v>2.7049592224308174E-2</v>
      </c>
      <c r="L55" s="349">
        <f>'SOFP '!L28/'SOFP '!L$34</f>
        <v>2.0276765640747346E-2</v>
      </c>
      <c r="M55" s="349">
        <f>'SOFP '!M28/'SOFP '!M$34</f>
        <v>2.7714794334597979E-2</v>
      </c>
      <c r="N55" s="349">
        <f>'SOFP '!N28/'SOFP '!N$34</f>
        <v>1.4661175969342178E-2</v>
      </c>
      <c r="O55" s="349">
        <f>'SOFP '!O28/'SOFP '!O$34</f>
        <v>1.948284164613405E-2</v>
      </c>
      <c r="P55" s="329">
        <f>'SOFP '!P28/'SOFP '!P$34</f>
        <v>1.6819592640233989E-2</v>
      </c>
      <c r="Q55" s="329">
        <f>'SOFP '!Q28/'SOFP '!Q$34</f>
        <v>1.8989900259046712E-2</v>
      </c>
      <c r="R55" s="329">
        <f>'SOFP '!R28/'SOFP '!R$34</f>
        <v>1.9981034788704329E-2</v>
      </c>
      <c r="S55" s="329">
        <f>'SOFP '!S28/'SOFP '!S$34</f>
        <v>2.0001282731985089E-2</v>
      </c>
      <c r="T55" s="7"/>
    </row>
    <row r="56" spans="2:20" x14ac:dyDescent="0.3">
      <c r="B56" s="49" t="s">
        <v>47</v>
      </c>
      <c r="H56" s="11"/>
      <c r="I56" s="348">
        <f>'SOFP '!I29/'SOFP '!I$34</f>
        <v>1.3556367562026571E-2</v>
      </c>
      <c r="J56" s="349">
        <f>'SOFP '!J29/'SOFP '!J$34</f>
        <v>1.2978150795154747E-2</v>
      </c>
      <c r="K56" s="349">
        <f>'SOFP '!K29/'SOFP '!K$34</f>
        <v>1.0555397235957354E-2</v>
      </c>
      <c r="L56" s="349">
        <f>'SOFP '!L29/'SOFP '!L$34</f>
        <v>1.243197147065664E-2</v>
      </c>
      <c r="M56" s="349">
        <f>'SOFP '!M29/'SOFP '!M$34</f>
        <v>8.5105344891022571E-3</v>
      </c>
      <c r="N56" s="349">
        <f>'SOFP '!N29/'SOFP '!N$34</f>
        <v>1.1086098519757257E-2</v>
      </c>
      <c r="O56" s="349">
        <f>'SOFP '!O29/'SOFP '!O$34</f>
        <v>1.1607236707419161E-2</v>
      </c>
      <c r="P56" s="329">
        <f>'SOFP '!P29/'SOFP '!P$34</f>
        <v>1.0020560483090519E-2</v>
      </c>
      <c r="Q56" s="329">
        <f>'SOFP '!Q29/'SOFP '!Q$34</f>
        <v>1.1313558430567716E-2</v>
      </c>
      <c r="R56" s="329">
        <f>'SOFP '!R29/'SOFP '!R$34</f>
        <v>1.1904043807577145E-2</v>
      </c>
      <c r="S56" s="329">
        <f>'SOFP '!S29/'SOFP '!S$34</f>
        <v>1.1916106866691768E-2</v>
      </c>
      <c r="T56" s="7"/>
    </row>
    <row r="57" spans="2:20" x14ac:dyDescent="0.3">
      <c r="B57" s="49" t="s">
        <v>48</v>
      </c>
      <c r="H57" s="11"/>
      <c r="I57" s="348">
        <f>'SOFP '!I30/'SOFP '!I$34</f>
        <v>8.1263923906066127E-2</v>
      </c>
      <c r="J57" s="349">
        <f>'SOFP '!J30/'SOFP '!J$34</f>
        <v>0.21916756424518474</v>
      </c>
      <c r="K57" s="349">
        <f>'SOFP '!K30/'SOFP '!K$34</f>
        <v>0.16159620961128066</v>
      </c>
      <c r="L57" s="349">
        <f>'SOFP '!L30/'SOFP '!L$34</f>
        <v>0.16628343282424993</v>
      </c>
      <c r="M57" s="349">
        <f>'SOFP '!M30/'SOFP '!M$34</f>
        <v>0.16223584409751476</v>
      </c>
      <c r="N57" s="327">
        <f>'SOFP '!N30/'SOFP '!N$34</f>
        <v>0.14497436236824349</v>
      </c>
      <c r="O57" s="349">
        <f>'SOFP '!O30/'SOFP '!O$34</f>
        <v>0.23480757932142618</v>
      </c>
      <c r="P57" s="350">
        <f>'SOFP '!P30/'SOFP '!P$34</f>
        <v>0.24237830368075911</v>
      </c>
      <c r="Q57" s="350">
        <f>'SOFP '!Q30/'SOFP '!Q$34</f>
        <v>0.25178443517336335</v>
      </c>
      <c r="R57" s="350">
        <f>'SOFP '!R30/'SOFP '!R$34</f>
        <v>0.26132329139635413</v>
      </c>
      <c r="S57" s="350">
        <f>'SOFP '!S30/'SOFP '!S$34</f>
        <v>0.27099581418519864</v>
      </c>
      <c r="T57" s="7"/>
    </row>
    <row r="58" spans="2:20" x14ac:dyDescent="0.3">
      <c r="B58" s="7" t="s">
        <v>49</v>
      </c>
      <c r="H58" s="11"/>
      <c r="I58" s="348">
        <f>'SOFP '!I31/'SOFP '!I$34</f>
        <v>1.7678369917987068E-2</v>
      </c>
      <c r="J58" s="349">
        <f>'SOFP '!J31/'SOFP '!J$34</f>
        <v>2.6374080616133243E-2</v>
      </c>
      <c r="K58" s="349">
        <f>'SOFP '!K31/'SOFP '!K$34</f>
        <v>2.354852954932574E-2</v>
      </c>
      <c r="L58" s="349">
        <f>'SOFP '!L31/'SOFP '!L$34</f>
        <v>2.1473757655632222E-2</v>
      </c>
      <c r="M58" s="349">
        <f>'SOFP '!M31/'SOFP '!M$34</f>
        <v>2.6260781865045855E-2</v>
      </c>
      <c r="N58" s="349">
        <f>'SOFP '!N31/'SOFP '!N$34</f>
        <v>2.5474978573571096E-2</v>
      </c>
      <c r="O58" s="349">
        <f>'SOFP '!O31/'SOFP '!O$34</f>
        <v>2.3064188873210517E-2</v>
      </c>
      <c r="P58" s="329">
        <f>'SOFP '!P31/'SOFP '!P$34</f>
        <v>2.1537947315985691E-2</v>
      </c>
      <c r="Q58" s="329">
        <f>'SOFP '!Q31/'SOFP '!Q$34</f>
        <v>2.0240626088563904E-2</v>
      </c>
      <c r="R58" s="329">
        <f>'SOFP '!R31/'SOFP '!R$34</f>
        <v>1.9004553753903353E-2</v>
      </c>
      <c r="S58" s="329">
        <f>'SOFP '!S31/'SOFP '!S$34</f>
        <v>1.78289855811316E-2</v>
      </c>
      <c r="T58" s="7"/>
    </row>
    <row r="59" spans="2:20" x14ac:dyDescent="0.3">
      <c r="B59" s="7" t="s">
        <v>72</v>
      </c>
      <c r="H59" s="11"/>
      <c r="I59" s="348">
        <f>'SOFP '!I32/'SOFP '!I$34</f>
        <v>8.5795093337757197E-4</v>
      </c>
      <c r="J59" s="349">
        <f>'SOFP '!J32/'SOFP '!J$34</f>
        <v>6.6226075891450114E-4</v>
      </c>
      <c r="K59" s="349">
        <f>'SOFP '!K32/'SOFP '!K$34</f>
        <v>3.5371740459310536E-4</v>
      </c>
      <c r="L59" s="349">
        <f>'SOFP '!L32/'SOFP '!L$34</f>
        <v>0</v>
      </c>
      <c r="M59" s="349">
        <f>'SOFP '!M32/'SOFP '!M$34</f>
        <v>0</v>
      </c>
      <c r="N59" s="349">
        <f>'SOFP '!N32/'SOFP '!N$34</f>
        <v>0</v>
      </c>
      <c r="O59" s="349">
        <f>'SOFP '!O32/'SOFP '!O$34</f>
        <v>0</v>
      </c>
      <c r="P59" s="329">
        <f>'SOFP '!P32/'SOFP '!P$34</f>
        <v>0</v>
      </c>
      <c r="Q59" s="329">
        <f>'SOFP '!Q32/'SOFP '!Q$34</f>
        <v>0</v>
      </c>
      <c r="R59" s="329">
        <f>'SOFP '!R32/'SOFP '!R$34</f>
        <v>0</v>
      </c>
      <c r="S59" s="329">
        <f>'SOFP '!S32/'SOFP '!S$34</f>
        <v>0</v>
      </c>
      <c r="T59" s="7"/>
    </row>
    <row r="60" spans="2:20" x14ac:dyDescent="0.3">
      <c r="B60" s="9" t="s">
        <v>51</v>
      </c>
      <c r="C60" s="18"/>
      <c r="D60" s="18"/>
      <c r="E60" s="18"/>
      <c r="F60" s="18"/>
      <c r="G60" s="18"/>
      <c r="H60" s="19"/>
      <c r="I60" s="340">
        <f>'SOFP '!I33/'SOFP '!I$34</f>
        <v>0.46921806995704674</v>
      </c>
      <c r="J60" s="340">
        <f>'SOFP '!J33/'SOFP '!J$34</f>
        <v>0.59041847614241216</v>
      </c>
      <c r="K60" s="340">
        <f>'SOFP '!K33/'SOFP '!K$34</f>
        <v>0.65924266188662328</v>
      </c>
      <c r="L60" s="340">
        <f>'SOFP '!L33/'SOFP '!L$34</f>
        <v>0.64094736026048527</v>
      </c>
      <c r="M60" s="340">
        <f>'SOFP '!M33/'SOFP '!M$34</f>
        <v>0.5860515724956048</v>
      </c>
      <c r="N60" s="340">
        <f>'SOFP '!N33/'SOFP '!N$34</f>
        <v>0.55946373179741316</v>
      </c>
      <c r="O60" s="340">
        <f>'SOFP '!O33/'SOFP '!O$34</f>
        <v>0.58447772067866055</v>
      </c>
      <c r="P60" s="341">
        <f>'SOFP '!P33/'SOFP '!P$34</f>
        <v>0.59949167928599822</v>
      </c>
      <c r="Q60" s="341">
        <f>'SOFP '!Q33/'SOFP '!Q$34</f>
        <v>0.61213124292953358</v>
      </c>
      <c r="R60" s="341">
        <f>'SOFP '!R33/'SOFP '!R$34</f>
        <v>0.62282131362268944</v>
      </c>
      <c r="S60" s="341">
        <f>'SOFP '!S33/'SOFP '!S$34</f>
        <v>0.63190598899852823</v>
      </c>
      <c r="T60" s="7"/>
    </row>
    <row r="61" spans="2:20" x14ac:dyDescent="0.3">
      <c r="B61" s="569" t="s">
        <v>52</v>
      </c>
      <c r="C61" s="570"/>
      <c r="D61" s="570"/>
      <c r="E61" s="570"/>
      <c r="F61" s="570"/>
      <c r="G61" s="570"/>
      <c r="H61" s="571"/>
      <c r="I61" s="336">
        <f>'SOFP '!I34/'SOFP '!I$34</f>
        <v>1</v>
      </c>
      <c r="J61" s="336">
        <f>'SOFP '!J34/'SOFP '!J$34</f>
        <v>1</v>
      </c>
      <c r="K61" s="336">
        <f>'SOFP '!K34/'SOFP '!K$34</f>
        <v>1</v>
      </c>
      <c r="L61" s="336">
        <f>'SOFP '!L34/'SOFP '!L$34</f>
        <v>1</v>
      </c>
      <c r="M61" s="336">
        <f>'SOFP '!M34/'SOFP '!M$34</f>
        <v>1</v>
      </c>
      <c r="N61" s="336">
        <f>'SOFP '!N34/'SOFP '!N$34</f>
        <v>1</v>
      </c>
      <c r="O61" s="336">
        <f>'SOFP '!O34/'SOFP '!O$34</f>
        <v>1</v>
      </c>
      <c r="P61" s="337">
        <f>'SOFP '!P34/'SOFP '!P$34</f>
        <v>1</v>
      </c>
      <c r="Q61" s="337">
        <f>'SOFP '!Q34/'SOFP '!Q$34</f>
        <v>1</v>
      </c>
      <c r="R61" s="337">
        <f>'SOFP '!R34/'SOFP '!R$34</f>
        <v>1</v>
      </c>
      <c r="S61" s="337">
        <f>'SOFP '!S34/'SOFP '!S$34</f>
        <v>1</v>
      </c>
      <c r="T61" s="7"/>
    </row>
    <row r="62" spans="2:20" x14ac:dyDescent="0.3">
      <c r="B62" s="7"/>
      <c r="H62" s="11"/>
      <c r="I62" s="346"/>
      <c r="J62" s="345"/>
      <c r="K62" s="345"/>
      <c r="L62" s="345"/>
      <c r="M62" s="345"/>
      <c r="N62" s="345"/>
      <c r="O62" s="345"/>
      <c r="P62" s="347"/>
      <c r="Q62" s="347"/>
      <c r="R62" s="347"/>
      <c r="S62" s="347"/>
      <c r="T62" s="7"/>
    </row>
    <row r="63" spans="2:20" ht="18" x14ac:dyDescent="0.35">
      <c r="B63" s="50" t="s">
        <v>53</v>
      </c>
      <c r="C63" s="1"/>
      <c r="D63" s="1"/>
      <c r="E63" s="1"/>
      <c r="F63" s="1"/>
      <c r="G63" s="1"/>
      <c r="H63" s="11"/>
      <c r="I63" s="346"/>
      <c r="J63" s="345"/>
      <c r="K63" s="345"/>
      <c r="L63" s="345"/>
      <c r="M63" s="345"/>
      <c r="N63" s="345"/>
      <c r="O63" s="345"/>
      <c r="P63" s="347"/>
      <c r="Q63" s="347"/>
      <c r="R63" s="347"/>
      <c r="S63" s="347"/>
      <c r="T63" s="7"/>
    </row>
    <row r="64" spans="2:20" x14ac:dyDescent="0.3">
      <c r="B64" s="22" t="s">
        <v>54</v>
      </c>
      <c r="H64" s="11"/>
      <c r="I64" s="348"/>
      <c r="J64" s="327"/>
      <c r="K64" s="327"/>
      <c r="L64" s="327"/>
      <c r="M64" s="327"/>
      <c r="N64" s="327"/>
      <c r="O64" s="327"/>
      <c r="P64" s="329"/>
      <c r="Q64" s="329"/>
      <c r="R64" s="329"/>
      <c r="S64" s="329"/>
      <c r="T64" s="7"/>
    </row>
    <row r="65" spans="2:20" x14ac:dyDescent="0.3">
      <c r="B65" s="7" t="s">
        <v>55</v>
      </c>
      <c r="H65" s="11"/>
      <c r="I65" s="348">
        <f>'SOFP '!I38/'SOFP '!I$62</f>
        <v>5.9375651897241493E-3</v>
      </c>
      <c r="J65" s="327">
        <f>'SOFP '!J38/'SOFP '!J$62</f>
        <v>4.70897346145878E-3</v>
      </c>
      <c r="K65" s="327">
        <f>'SOFP '!K38/'SOFP '!K$62</f>
        <v>4.1732925807890188E-3</v>
      </c>
      <c r="L65" s="327">
        <f>'SOFP '!L38/'SOFP '!L$62</f>
        <v>3.7181176835413597E-3</v>
      </c>
      <c r="M65" s="327">
        <f>'SOFP '!M38/'SOFP '!M$62</f>
        <v>3.2054441755789394E-3</v>
      </c>
      <c r="N65" s="327">
        <f>'SOFP '!N38/'SOFP '!N$62</f>
        <v>3.1582343915657492E-3</v>
      </c>
      <c r="O65" s="327">
        <f>'SOFP '!O38/'SOFP '!O$62</f>
        <v>2.7775131470017369E-3</v>
      </c>
      <c r="P65" s="329">
        <f>'SOFP '!P38/'SOFP '!P$62</f>
        <v>2.5375359774757818E-3</v>
      </c>
      <c r="Q65" s="329">
        <f>'SOFP '!Q38/'SOFP '!Q$62</f>
        <v>2.3330369130148132E-3</v>
      </c>
      <c r="R65" s="329">
        <f>'SOFP '!R38/'SOFP '!R$62</f>
        <v>2.143114084997086E-3</v>
      </c>
      <c r="S65" s="329">
        <f>'SOFP '!S38/'SOFP '!S$62</f>
        <v>1.9669990085912415E-3</v>
      </c>
      <c r="T65" s="7"/>
    </row>
    <row r="66" spans="2:20" x14ac:dyDescent="0.3">
      <c r="B66" s="7" t="s">
        <v>56</v>
      </c>
      <c r="H66" s="11"/>
      <c r="I66" s="348">
        <f>'SOFP '!I39/'SOFP '!I$62</f>
        <v>0.62113171527666433</v>
      </c>
      <c r="J66" s="327">
        <f>'SOFP '!J39/'SOFP '!J$62</f>
        <v>0.62398660357925184</v>
      </c>
      <c r="K66" s="327">
        <f>'SOFP '!K39/'SOFP '!K$62</f>
        <v>0.59674081164275539</v>
      </c>
      <c r="L66" s="327">
        <f>'SOFP '!L39/'SOFP '!L$62</f>
        <v>0.61618381269865874</v>
      </c>
      <c r="M66" s="327">
        <f>'SOFP '!M39/'SOFP '!M$62</f>
        <v>0.62265485767486994</v>
      </c>
      <c r="N66" s="327">
        <f>'SOFP '!N39/'SOFP '!N$62</f>
        <v>0.63559434204547693</v>
      </c>
      <c r="O66" s="327">
        <f>'SOFP '!O39/'SOFP '!O$62</f>
        <v>0.6160701953322606</v>
      </c>
      <c r="P66" s="329">
        <f>'SOFP '!P39/'SOFP '!P$62</f>
        <v>0.61023583371658674</v>
      </c>
      <c r="Q66" s="329">
        <f>'SOFP '!Q39/'SOFP '!Q$62</f>
        <v>0.60854809306282986</v>
      </c>
      <c r="R66" s="329">
        <f>'SOFP '!R39/'SOFP '!R$62</f>
        <v>0.60648981666136015</v>
      </c>
      <c r="S66" s="329">
        <f>'SOFP '!S39/'SOFP '!S$62</f>
        <v>0.60402599199362494</v>
      </c>
      <c r="T66" s="7"/>
    </row>
    <row r="67" spans="2:20" x14ac:dyDescent="0.3">
      <c r="B67" s="7" t="s">
        <v>113</v>
      </c>
      <c r="H67" s="75"/>
      <c r="I67" s="348">
        <f>'SOFP '!I40/'SOFP '!I$62</f>
        <v>2.4979000010523205E-2</v>
      </c>
      <c r="J67" s="348">
        <f>'SOFP '!J40/'SOFP '!J$62</f>
        <v>2.0759346517018971E-2</v>
      </c>
      <c r="K67" s="348">
        <f>'SOFP '!K40/'SOFP '!K$62</f>
        <v>1.686067633270609E-2</v>
      </c>
      <c r="L67" s="348">
        <f>'SOFP '!L40/'SOFP '!L$62</f>
        <v>1.7585084115047681E-2</v>
      </c>
      <c r="M67" s="348">
        <f>'SOFP '!M40/'SOFP '!M$62</f>
        <v>2.3238133557277763E-2</v>
      </c>
      <c r="N67" s="348">
        <f>'SOFP '!N40/'SOFP '!N$62</f>
        <v>2.1705947042283201E-2</v>
      </c>
      <c r="O67" s="348">
        <f>'SOFP '!O40/'SOFP '!O$62</f>
        <v>1.863036054680408E-2</v>
      </c>
      <c r="P67" s="329">
        <f>'SOFP '!P40/'SOFP '!P$62</f>
        <v>1.8651708958309907E-2</v>
      </c>
      <c r="Q67" s="329">
        <f>'SOFP '!Q40/'SOFP '!Q$62</f>
        <v>1.8782918646762826E-2</v>
      </c>
      <c r="R67" s="329">
        <f>'SOFP '!R40/'SOFP '!R$62</f>
        <v>1.8887884530613824E-2</v>
      </c>
      <c r="S67" s="329">
        <f>'SOFP '!S40/'SOFP '!S$62</f>
        <v>1.8966113031424151E-2</v>
      </c>
      <c r="T67" s="7"/>
    </row>
    <row r="68" spans="2:20" x14ac:dyDescent="0.3">
      <c r="B68" s="9" t="s">
        <v>57</v>
      </c>
      <c r="C68" s="18"/>
      <c r="D68" s="18"/>
      <c r="E68" s="18"/>
      <c r="F68" s="18"/>
      <c r="G68" s="18"/>
      <c r="H68" s="19"/>
      <c r="I68" s="340">
        <f>'SOFP '!I41/'SOFP '!I$62</f>
        <v>0.65204828047691177</v>
      </c>
      <c r="J68" s="340">
        <f>'SOFP '!J41/'SOFP '!J$62</f>
        <v>0.6494549235577296</v>
      </c>
      <c r="K68" s="340">
        <f>'SOFP '!K41/'SOFP '!K$62</f>
        <v>0.61777478055625046</v>
      </c>
      <c r="L68" s="340">
        <f>'SOFP '!L41/'SOFP '!L$62</f>
        <v>0.63748701449724787</v>
      </c>
      <c r="M68" s="340">
        <f>'SOFP '!M41/'SOFP '!M$62</f>
        <v>0.6490984354077266</v>
      </c>
      <c r="N68" s="340">
        <f>'SOFP '!N41/'SOFP '!N$62</f>
        <v>0.66045852347932588</v>
      </c>
      <c r="O68" s="340">
        <f>'SOFP '!O41/'SOFP '!O$62</f>
        <v>0.6374780690260663</v>
      </c>
      <c r="P68" s="341">
        <f>'SOFP '!P41/'SOFP '!P$62</f>
        <v>0.63142507865237241</v>
      </c>
      <c r="Q68" s="341">
        <f>'SOFP '!Q41/'SOFP '!Q$62</f>
        <v>0.6296640486226075</v>
      </c>
      <c r="R68" s="341">
        <f>'SOFP '!R41/'SOFP '!R$62</f>
        <v>0.62752081527697101</v>
      </c>
      <c r="S68" s="341">
        <f>'SOFP '!S41/'SOFP '!S$62</f>
        <v>0.6249591040336403</v>
      </c>
      <c r="T68" s="7"/>
    </row>
    <row r="69" spans="2:20" x14ac:dyDescent="0.3">
      <c r="B69" s="7"/>
      <c r="H69" s="11"/>
      <c r="I69" s="348"/>
      <c r="J69" s="327"/>
      <c r="K69" s="327"/>
      <c r="L69" s="327"/>
      <c r="M69" s="327"/>
      <c r="N69" s="327"/>
      <c r="O69" s="327"/>
      <c r="P69" s="329"/>
      <c r="Q69" s="329"/>
      <c r="R69" s="329"/>
      <c r="S69" s="329"/>
      <c r="T69" s="7"/>
    </row>
    <row r="70" spans="2:20" x14ac:dyDescent="0.3">
      <c r="B70" s="22" t="s">
        <v>58</v>
      </c>
      <c r="H70" s="11"/>
      <c r="I70" s="348"/>
      <c r="J70" s="327"/>
      <c r="K70" s="327"/>
      <c r="L70" s="327"/>
      <c r="M70" s="327"/>
      <c r="N70" s="327"/>
      <c r="O70" s="327"/>
      <c r="P70" s="329"/>
      <c r="Q70" s="329"/>
      <c r="R70" s="329"/>
      <c r="S70" s="329"/>
      <c r="T70" s="7"/>
    </row>
    <row r="71" spans="2:20" x14ac:dyDescent="0.3">
      <c r="B71" s="22" t="s">
        <v>59</v>
      </c>
      <c r="H71" s="11"/>
      <c r="I71" s="348"/>
      <c r="J71" s="327"/>
      <c r="K71" s="327"/>
      <c r="L71" s="327"/>
      <c r="M71" s="327"/>
      <c r="N71" s="327"/>
      <c r="O71" s="327"/>
      <c r="P71" s="329"/>
      <c r="Q71" s="329"/>
      <c r="R71" s="329"/>
      <c r="S71" s="329"/>
      <c r="T71" s="7"/>
    </row>
    <row r="72" spans="2:20" x14ac:dyDescent="0.3">
      <c r="B72" s="7" t="s">
        <v>60</v>
      </c>
      <c r="H72" s="11"/>
      <c r="I72" s="348"/>
      <c r="J72" s="327"/>
      <c r="K72" s="327"/>
      <c r="L72" s="327"/>
      <c r="M72" s="327"/>
      <c r="N72" s="327"/>
      <c r="O72" s="327"/>
      <c r="P72" s="329"/>
      <c r="Q72" s="329"/>
      <c r="R72" s="329"/>
      <c r="S72" s="329"/>
      <c r="T72" s="7"/>
    </row>
    <row r="73" spans="2:20" x14ac:dyDescent="0.3">
      <c r="B73" s="49" t="s">
        <v>112</v>
      </c>
      <c r="H73" s="11"/>
      <c r="I73" s="348">
        <f>'SOFP '!I46/'SOFP '!I$62</f>
        <v>3.6518006755899342E-2</v>
      </c>
      <c r="J73" s="327">
        <f>'SOFP '!J46/'SOFP '!J$62</f>
        <v>2.755868788912115E-2</v>
      </c>
      <c r="K73" s="327">
        <f>'SOFP '!K46/'SOFP '!K$62</f>
        <v>2.6033914528427075E-2</v>
      </c>
      <c r="L73" s="327">
        <f>'SOFP '!L46/'SOFP '!L$62</f>
        <v>2.8255678734785645E-2</v>
      </c>
      <c r="M73" s="327">
        <f>'SOFP '!M46/'SOFP '!M$62</f>
        <v>3.6602282642513098E-2</v>
      </c>
      <c r="N73" s="327">
        <f>'SOFP '!N46/'SOFP '!N$62</f>
        <v>3.6985453419993805E-2</v>
      </c>
      <c r="O73" s="327">
        <f>'SOFP '!O46/'SOFP '!O$62</f>
        <v>3.7844485324671079E-2</v>
      </c>
      <c r="P73" s="329">
        <f>'SOFP '!P46/'SOFP '!P$62</f>
        <v>4.1173169725604704E-2</v>
      </c>
      <c r="Q73" s="329">
        <f>'SOFP '!Q46/'SOFP '!Q$62</f>
        <v>4.507952366198973E-2</v>
      </c>
      <c r="R73" s="329">
        <f>'SOFP '!R46/'SOFP '!R$62</f>
        <v>4.9312680797098676E-2</v>
      </c>
      <c r="S73" s="329">
        <f>'SOFP '!S46/'SOFP '!S$62</f>
        <v>5.3898053028296353E-2</v>
      </c>
      <c r="T73" s="7"/>
    </row>
    <row r="74" spans="2:20" x14ac:dyDescent="0.3">
      <c r="B74" s="49" t="s">
        <v>61</v>
      </c>
      <c r="H74" s="11"/>
      <c r="I74" s="348">
        <f>'SOFP '!I47/'SOFP '!I$62</f>
        <v>1.1532197610984248E-3</v>
      </c>
      <c r="J74" s="327">
        <f>'SOFP '!J47/'SOFP '!J$62</f>
        <v>7.1331718510212741E-4</v>
      </c>
      <c r="K74" s="327">
        <f>'SOFP '!K47/'SOFP '!K$62</f>
        <v>1.937848744248779E-3</v>
      </c>
      <c r="L74" s="327">
        <f>'SOFP '!L47/'SOFP '!L$62</f>
        <v>2.9517792076905187E-3</v>
      </c>
      <c r="M74" s="327">
        <f>'SOFP '!M47/'SOFP '!M$62</f>
        <v>1.8172649527521136E-3</v>
      </c>
      <c r="N74" s="327">
        <f>'SOFP '!N47/'SOFP '!N$62</f>
        <v>8.5481736106995387E-3</v>
      </c>
      <c r="O74" s="327">
        <f>'SOFP '!O47/'SOFP '!O$62</f>
        <v>3.6113751788429488E-2</v>
      </c>
      <c r="P74" s="329">
        <f>'SOFP '!P47/'SOFP '!P$62</f>
        <v>3.5402170520939538E-2</v>
      </c>
      <c r="Q74" s="329">
        <f>'SOFP '!Q47/'SOFP '!Q$62</f>
        <v>3.5292848875313379E-2</v>
      </c>
      <c r="R74" s="329">
        <f>'SOFP '!R47/'SOFP '!R$62</f>
        <v>3.5162962139982344E-2</v>
      </c>
      <c r="S74" s="329">
        <f>'SOFP '!S47/'SOFP '!S$62</f>
        <v>3.5010443114826685E-2</v>
      </c>
      <c r="T74" s="7"/>
    </row>
    <row r="75" spans="2:20" x14ac:dyDescent="0.3">
      <c r="B75" s="49" t="s">
        <v>62</v>
      </c>
      <c r="H75" s="11"/>
      <c r="I75" s="348">
        <f>'SOFP '!I48/'SOFP '!I$62</f>
        <v>1.8198959192857589E-4</v>
      </c>
      <c r="J75" s="327">
        <f>'SOFP '!J48/'SOFP '!J$62</f>
        <v>1.6593338510978602E-4</v>
      </c>
      <c r="K75" s="327">
        <f>'SOFP '!K48/'SOFP '!K$62</f>
        <v>9.4847558654295887E-5</v>
      </c>
      <c r="L75" s="327">
        <f>'SOFP '!L48/'SOFP '!L$62</f>
        <v>1.7978137840142649E-3</v>
      </c>
      <c r="M75" s="327">
        <f>'SOFP '!M48/'SOFP '!M$62</f>
        <v>8.0396763945035591E-3</v>
      </c>
      <c r="N75" s="327">
        <f>'SOFP '!N48/'SOFP '!N$62</f>
        <v>2.63175224059477E-3</v>
      </c>
      <c r="O75" s="327">
        <f>'SOFP '!O48/'SOFP '!O$62</f>
        <v>3.2912025050898393E-3</v>
      </c>
      <c r="P75" s="329">
        <f>'SOFP '!P48/'SOFP '!P$62</f>
        <v>3.0151889620732152E-3</v>
      </c>
      <c r="Q75" s="329">
        <f>'SOFP '!Q48/'SOFP '!Q$62</f>
        <v>2.77989108569713E-3</v>
      </c>
      <c r="R75" s="329">
        <f>'SOFP '!R48/'SOFP '!R$62</f>
        <v>2.5606799783161054E-3</v>
      </c>
      <c r="S75" s="329">
        <f>'SOFP '!S48/'SOFP '!S$62</f>
        <v>2.3567743385727361E-3</v>
      </c>
      <c r="T75" s="7"/>
    </row>
    <row r="76" spans="2:20" x14ac:dyDescent="0.3">
      <c r="B76" s="7" t="s">
        <v>63</v>
      </c>
      <c r="H76" s="11"/>
      <c r="I76" s="348">
        <f>'SOFP '!I49/'SOFP '!I$62</f>
        <v>2.7471762210170742E-2</v>
      </c>
      <c r="J76" s="327">
        <f>'SOFP '!J49/'SOFP '!J$62</f>
        <v>2.0402442460880466E-2</v>
      </c>
      <c r="K76" s="327">
        <f>'SOFP '!K49/'SOFP '!K$62</f>
        <v>1.517778478740877E-2</v>
      </c>
      <c r="L76" s="327">
        <f>'SOFP '!L49/'SOFP '!L$62</f>
        <v>1.2979300720986122E-2</v>
      </c>
      <c r="M76" s="327">
        <f>'SOFP '!M49/'SOFP '!M$62</f>
        <v>1.176877893362839E-2</v>
      </c>
      <c r="N76" s="327">
        <f>'SOFP '!N49/'SOFP '!N$62</f>
        <v>1.3331950453387068E-2</v>
      </c>
      <c r="O76" s="327">
        <f>'SOFP '!O49/'SOFP '!O$62</f>
        <v>1.1677022014803173E-2</v>
      </c>
      <c r="P76" s="329">
        <f>'SOFP '!P49/'SOFP '!P$62</f>
        <v>1.0922461099766863E-2</v>
      </c>
      <c r="Q76" s="329">
        <f>'SOFP '!Q49/'SOFP '!Q$62</f>
        <v>1.0281636151834903E-2</v>
      </c>
      <c r="R76" s="329">
        <f>'SOFP '!R49/'SOFP '!R$62</f>
        <v>9.6698165238896135E-3</v>
      </c>
      <c r="S76" s="329">
        <f>'SOFP '!S49/'SOFP '!S$62</f>
        <v>9.0867673058929472E-3</v>
      </c>
      <c r="T76" s="7"/>
    </row>
    <row r="77" spans="2:20" x14ac:dyDescent="0.3">
      <c r="B77" s="7" t="s">
        <v>64</v>
      </c>
      <c r="H77" s="11"/>
      <c r="I77" s="348">
        <f>'SOFP '!I50/'SOFP '!I$62</f>
        <v>1.147586749919683E-2</v>
      </c>
      <c r="J77" s="327">
        <f>'SOFP '!J50/'SOFP '!J$62</f>
        <v>1.0788124668010497E-2</v>
      </c>
      <c r="K77" s="327">
        <f>'SOFP '!K50/'SOFP '!K$62</f>
        <v>9.5904804376910277E-3</v>
      </c>
      <c r="L77" s="327">
        <f>'SOFP '!L50/'SOFP '!L$62</f>
        <v>1.0460888440964416E-2</v>
      </c>
      <c r="M77" s="327">
        <f>'SOFP '!M50/'SOFP '!M$62</f>
        <v>8.5894007136056577E-3</v>
      </c>
      <c r="N77" s="327">
        <f>'SOFP '!N50/'SOFP '!N$62</f>
        <v>9.9873565262055732E-3</v>
      </c>
      <c r="O77" s="327">
        <f>'SOFP '!O50/'SOFP '!O$62</f>
        <v>9.0185203256222986E-3</v>
      </c>
      <c r="P77" s="329">
        <f>'SOFP '!P50/'SOFP '!P$62</f>
        <v>8.3114358821968909E-3</v>
      </c>
      <c r="Q77" s="329">
        <f>'SOFP '!Q50/'SOFP '!Q$62</f>
        <v>7.7085047793033351E-3</v>
      </c>
      <c r="R77" s="329">
        <f>'SOFP '!R50/'SOFP '!R$62</f>
        <v>7.1429648290553408E-3</v>
      </c>
      <c r="S77" s="329">
        <f>'SOFP '!S50/'SOFP '!S$62</f>
        <v>6.6133582219029471E-3</v>
      </c>
      <c r="T77" s="7"/>
    </row>
    <row r="78" spans="2:20" x14ac:dyDescent="0.3">
      <c r="B78" s="9" t="s">
        <v>65</v>
      </c>
      <c r="C78" s="18"/>
      <c r="D78" s="18"/>
      <c r="E78" s="18"/>
      <c r="F78" s="18"/>
      <c r="G78" s="18"/>
      <c r="H78" s="19"/>
      <c r="I78" s="340">
        <f>'SOFP '!I51/'SOFP '!I$62</f>
        <v>7.6800845818293925E-2</v>
      </c>
      <c r="J78" s="340">
        <f>'SOFP '!J51/'SOFP '!J$62</f>
        <v>5.9628505588224016E-2</v>
      </c>
      <c r="K78" s="340">
        <f>'SOFP '!K51/'SOFP '!K$62</f>
        <v>5.283487605642994E-2</v>
      </c>
      <c r="L78" s="340">
        <f>'SOFP '!L51/'SOFP '!L$62</f>
        <v>5.6445460888440956E-2</v>
      </c>
      <c r="M78" s="340">
        <f>'SOFP '!M51/'SOFP '!M$62</f>
        <v>6.6817403637002823E-2</v>
      </c>
      <c r="N78" s="340">
        <f>'SOFP '!N51/'SOFP '!N$62</f>
        <v>7.1484686250880766E-2</v>
      </c>
      <c r="O78" s="340">
        <f>'SOFP '!O51/'SOFP '!O$62</f>
        <v>9.7944981958615854E-2</v>
      </c>
      <c r="P78" s="341">
        <f>'SOFP '!P51/'SOFP '!P$62</f>
        <v>9.882442619058121E-2</v>
      </c>
      <c r="Q78" s="341">
        <f>'SOFP '!Q51/'SOFP '!Q$62</f>
        <v>0.10114240455413848</v>
      </c>
      <c r="R78" s="341">
        <f>'SOFP '!R51/'SOFP '!R$62</f>
        <v>0.10384910426834208</v>
      </c>
      <c r="S78" s="341">
        <f>'SOFP '!S51/'SOFP '!S$62</f>
        <v>0.10696539600949168</v>
      </c>
      <c r="T78" s="7"/>
    </row>
    <row r="79" spans="2:20" x14ac:dyDescent="0.3">
      <c r="B79" s="22"/>
      <c r="C79" s="1"/>
      <c r="D79" s="1"/>
      <c r="E79" s="1"/>
      <c r="F79" s="1"/>
      <c r="G79" s="1"/>
      <c r="H79" s="78"/>
      <c r="I79" s="328"/>
      <c r="J79" s="328"/>
      <c r="K79" s="328"/>
      <c r="L79" s="328"/>
      <c r="M79" s="328"/>
      <c r="N79" s="328"/>
      <c r="O79" s="328"/>
      <c r="P79" s="331"/>
      <c r="Q79" s="331"/>
      <c r="R79" s="331"/>
      <c r="S79" s="331"/>
      <c r="T79" s="7"/>
    </row>
    <row r="80" spans="2:20" x14ac:dyDescent="0.3">
      <c r="B80" s="22" t="s">
        <v>66</v>
      </c>
      <c r="H80" s="11"/>
      <c r="I80" s="348"/>
      <c r="J80" s="327"/>
      <c r="K80" s="327"/>
      <c r="L80" s="327"/>
      <c r="M80" s="327"/>
      <c r="N80" s="327"/>
      <c r="O80" s="327"/>
      <c r="P80" s="329"/>
      <c r="Q80" s="329"/>
      <c r="R80" s="329"/>
      <c r="S80" s="329"/>
      <c r="T80" s="7"/>
    </row>
    <row r="81" spans="2:20" x14ac:dyDescent="0.3">
      <c r="B81" s="7" t="s">
        <v>60</v>
      </c>
      <c r="H81" s="11"/>
      <c r="I81" s="348"/>
      <c r="J81" s="348"/>
      <c r="K81" s="348"/>
      <c r="L81" s="348"/>
      <c r="M81" s="348"/>
      <c r="N81" s="348"/>
      <c r="O81" s="348"/>
      <c r="P81" s="329"/>
      <c r="Q81" s="329"/>
      <c r="R81" s="329"/>
      <c r="S81" s="329"/>
      <c r="T81" s="7"/>
    </row>
    <row r="82" spans="2:20" x14ac:dyDescent="0.3">
      <c r="B82" s="49" t="s">
        <v>74</v>
      </c>
      <c r="H82" s="11"/>
      <c r="I82" s="348">
        <f>'SOFP '!I55/'SOFP '!I$62</f>
        <v>0.13225629334246167</v>
      </c>
      <c r="J82" s="348">
        <f>'SOFP '!J55/'SOFP '!J$62</f>
        <v>0.16587054643140126</v>
      </c>
      <c r="K82" s="348">
        <f>'SOFP '!K55/'SOFP '!K$62</f>
        <v>0.18118059105691942</v>
      </c>
      <c r="L82" s="348">
        <f>'SOFP '!L55/'SOFP '!L$62</f>
        <v>0.14091945112024187</v>
      </c>
      <c r="M82" s="348">
        <f>'SOFP '!M55/'SOFP '!M$62</f>
        <v>0.12803530533426413</v>
      </c>
      <c r="N82" s="348">
        <f>'SOFP '!N55/'SOFP '!N$62</f>
        <v>0.1266981436483007</v>
      </c>
      <c r="O82" s="348">
        <f>'SOFP '!O55/'SOFP '!O$62</f>
        <v>0.11186034599034184</v>
      </c>
      <c r="P82" s="350">
        <f>'SOFP '!P55/'SOFP '!P$62</f>
        <v>0.11786614633527448</v>
      </c>
      <c r="Q82" s="350">
        <f>'SOFP '!Q55/'SOFP '!Q$62</f>
        <v>0.11827363278874693</v>
      </c>
      <c r="R82" s="350">
        <f>'SOFP '!R55/'SOFP '!R$62</f>
        <v>0.11858122681520711</v>
      </c>
      <c r="S82" s="350">
        <f>'SOFP '!S55/'SOFP '!S$62</f>
        <v>0.11879326552645179</v>
      </c>
      <c r="T82" s="7"/>
    </row>
    <row r="83" spans="2:20" x14ac:dyDescent="0.3">
      <c r="B83" s="49" t="s">
        <v>61</v>
      </c>
      <c r="H83" s="11"/>
      <c r="I83" s="348">
        <f>'SOFP '!I56/'SOFP '!I$62</f>
        <v>1.9900004766394076E-2</v>
      </c>
      <c r="J83" s="348">
        <f>'SOFP '!J56/'SOFP '!J$62</f>
        <v>1.5989498085874944E-2</v>
      </c>
      <c r="K83" s="348">
        <f>'SOFP '!K56/'SOFP '!K$62</f>
        <v>3.1809608753820551E-2</v>
      </c>
      <c r="L83" s="348">
        <f>'SOFP '!L56/'SOFP '!L$62</f>
        <v>3.4733700286843937E-2</v>
      </c>
      <c r="M83" s="348">
        <f>'SOFP '!M56/'SOFP '!M$62</f>
        <v>3.5181019706864936E-2</v>
      </c>
      <c r="N83" s="348">
        <f>'SOFP '!N56/'SOFP '!N$62</f>
        <v>1.9892398769895361E-2</v>
      </c>
      <c r="O83" s="348">
        <f>'SOFP '!O56/'SOFP '!O$62</f>
        <v>3.029116688852217E-2</v>
      </c>
      <c r="P83" s="350">
        <f>'SOFP '!P56/'SOFP '!P$62</f>
        <v>2.969431317322389E-2</v>
      </c>
      <c r="Q83" s="350">
        <f>'SOFP '!Q56/'SOFP '!Q$62</f>
        <v>2.9602617349660888E-2</v>
      </c>
      <c r="R83" s="350">
        <f>'SOFP '!R56/'SOFP '!R$62</f>
        <v>2.9493672125703894E-2</v>
      </c>
      <c r="S83" s="350">
        <f>'SOFP '!S56/'SOFP '!S$62</f>
        <v>2.9365743593887793E-2</v>
      </c>
      <c r="T83" s="7"/>
    </row>
    <row r="84" spans="2:20" x14ac:dyDescent="0.3">
      <c r="B84" s="49" t="s">
        <v>112</v>
      </c>
      <c r="H84" s="11"/>
      <c r="I84" s="348">
        <f>'SOFP '!I57/'SOFP '!I$62</f>
        <v>1.0762765424701188E-2</v>
      </c>
      <c r="J84" s="348">
        <f>'SOFP '!J57/'SOFP '!J$62</f>
        <v>8.9928039894705929E-3</v>
      </c>
      <c r="K84" s="348">
        <f>'SOFP '!K57/'SOFP '!K$62</f>
        <v>9.2606893851224208E-3</v>
      </c>
      <c r="L84" s="348">
        <f>'SOFP '!L57/'SOFP '!L$62</f>
        <v>8.97240096131483E-3</v>
      </c>
      <c r="M84" s="348">
        <f>'SOFP '!M57/'SOFP '!M$62</f>
        <v>9.087995658347503E-3</v>
      </c>
      <c r="N84" s="348">
        <f>'SOFP '!N57/'SOFP '!N$62</f>
        <v>9.984393212035007E-3</v>
      </c>
      <c r="O84" s="348">
        <f>'SOFP '!O57/'SOFP '!O$62</f>
        <v>9.518889666533371E-3</v>
      </c>
      <c r="P84" s="350">
        <f>'SOFP '!P57/'SOFP '!P$62</f>
        <v>1.2134757806202138E-2</v>
      </c>
      <c r="Q84" s="350">
        <f>'SOFP '!Q57/'SOFP '!Q$62</f>
        <v>1.3286057529765999E-2</v>
      </c>
      <c r="R84" s="350">
        <f>'SOFP '!R57/'SOFP '!R$62</f>
        <v>1.4533674289235424E-2</v>
      </c>
      <c r="S84" s="350">
        <f>'SOFP '!S57/'SOFP '!S$62</f>
        <v>1.5885097603196743E-2</v>
      </c>
      <c r="T84" s="7"/>
    </row>
    <row r="85" spans="2:20" x14ac:dyDescent="0.3">
      <c r="B85" s="49" t="s">
        <v>62</v>
      </c>
      <c r="H85" s="11"/>
      <c r="I85" s="348">
        <f>'SOFP '!I58/'SOFP '!I$62</f>
        <v>8.5073325092217336E-2</v>
      </c>
      <c r="J85" s="327">
        <f>'SOFP '!J58/'SOFP '!J$62</f>
        <v>7.8696607987777861E-2</v>
      </c>
      <c r="K85" s="327">
        <f>'SOFP '!K58/'SOFP '!K$62</f>
        <v>8.2082730565495934E-2</v>
      </c>
      <c r="L85" s="327">
        <f>'SOFP '!L58/'SOFP '!L$62</f>
        <v>9.4426699744166218E-2</v>
      </c>
      <c r="M85" s="327">
        <f>'SOFP '!M58/'SOFP '!M$62</f>
        <v>8.9407564273466619E-2</v>
      </c>
      <c r="N85" s="327">
        <f>'SOFP '!N58/'SOFP '!N$62</f>
        <v>9.0283622091836394E-2</v>
      </c>
      <c r="O85" s="327">
        <f>'SOFP '!O58/'SOFP '!O$62</f>
        <v>8.8164614563585569E-2</v>
      </c>
      <c r="P85" s="350">
        <f>'SOFP '!P58/'SOFP '!P$62</f>
        <v>8.6493858996421938E-2</v>
      </c>
      <c r="Q85" s="350">
        <f>'SOFP '!Q58/'SOFP '!Q$62</f>
        <v>8.5394431436885132E-2</v>
      </c>
      <c r="R85" s="350">
        <f>'SOFP '!R58/'SOFP '!R$62</f>
        <v>8.4234132445119236E-2</v>
      </c>
      <c r="S85" s="350">
        <f>'SOFP '!S58/'SOFP '!S$62</f>
        <v>8.3019828774294369E-2</v>
      </c>
      <c r="T85" s="7"/>
    </row>
    <row r="86" spans="2:20" x14ac:dyDescent="0.3">
      <c r="B86" s="7" t="s">
        <v>67</v>
      </c>
      <c r="H86" s="11"/>
      <c r="I86" s="348">
        <f>'SOFP '!I59/'SOFP '!I$62</f>
        <v>1.2013170103938342E-2</v>
      </c>
      <c r="J86" s="327">
        <f>'SOFP '!J59/'SOFP '!J$62</f>
        <v>1.5415604218439027E-2</v>
      </c>
      <c r="K86" s="327">
        <f>'SOFP '!K59/'SOFP '!K$62</f>
        <v>1.9395455583714933E-2</v>
      </c>
      <c r="L86" s="327">
        <f>'SOFP '!L59/'SOFP '!L$62</f>
        <v>2.0670206992790138E-2</v>
      </c>
      <c r="M86" s="327">
        <f>'SOFP '!M59/'SOFP '!M$62</f>
        <v>1.8278250065415523E-2</v>
      </c>
      <c r="N86" s="327">
        <f>'SOFP '!N59/'SOFP '!N$62</f>
        <v>1.7046629394759542E-2</v>
      </c>
      <c r="O86" s="327">
        <f>'SOFP '!O59/'SOFP '!O$62</f>
        <v>1.9529461706253665E-2</v>
      </c>
      <c r="P86" s="329">
        <f>'SOFP '!P59/'SOFP '!P$62</f>
        <v>1.8115431684176779E-2</v>
      </c>
      <c r="Q86" s="329">
        <f>'SOFP '!Q59/'SOFP '!Q$62</f>
        <v>1.6910654587078178E-2</v>
      </c>
      <c r="R86" s="329">
        <f>'SOFP '!R59/'SOFP '!R$62</f>
        <v>1.5771987663964055E-2</v>
      </c>
      <c r="S86" s="329">
        <f>'SOFP '!S59/'SOFP '!S$62</f>
        <v>1.4697640101113203E-2</v>
      </c>
      <c r="T86" s="7"/>
    </row>
    <row r="87" spans="2:20" x14ac:dyDescent="0.3">
      <c r="B87" s="7" t="s">
        <v>68</v>
      </c>
      <c r="H87" s="11"/>
      <c r="I87" s="348">
        <f>'SOFP '!I60/'SOFP '!I$62</f>
        <v>1.1145314975081663E-2</v>
      </c>
      <c r="J87" s="327">
        <f>'SOFP '!J60/'SOFP '!J$62</f>
        <v>5.9515101410826509E-3</v>
      </c>
      <c r="K87" s="327">
        <f>'SOFP '!K60/'SOFP '!K$62</f>
        <v>5.6612680422463207E-3</v>
      </c>
      <c r="L87" s="327">
        <f>'SOFP '!L60/'SOFP '!L$62</f>
        <v>6.3450655089541822E-3</v>
      </c>
      <c r="M87" s="327">
        <f>'SOFP '!M60/'SOFP '!M$62</f>
        <v>4.0940259169117586E-3</v>
      </c>
      <c r="N87" s="327">
        <f>'SOFP '!N60/'SOFP '!N$62</f>
        <v>4.151603152966277E-3</v>
      </c>
      <c r="O87" s="327">
        <f>'SOFP '!O60/'SOFP '!O$62</f>
        <v>5.212470200081136E-3</v>
      </c>
      <c r="P87" s="329">
        <f>'SOFP '!P60/'SOFP '!P$62</f>
        <v>5.4459871617471714E-3</v>
      </c>
      <c r="Q87" s="329">
        <f>'SOFP '!Q60/'SOFP '!Q$62</f>
        <v>5.7261531311169067E-3</v>
      </c>
      <c r="R87" s="329">
        <f>'SOFP '!R60/'SOFP '!R$62</f>
        <v>6.015387115457075E-3</v>
      </c>
      <c r="S87" s="329">
        <f>'SOFP '!S60/'SOFP '!S$62</f>
        <v>6.313924357924044E-3</v>
      </c>
      <c r="T87" s="7"/>
    </row>
    <row r="88" spans="2:20" x14ac:dyDescent="0.3">
      <c r="B88" s="9" t="s">
        <v>69</v>
      </c>
      <c r="C88" s="18"/>
      <c r="D88" s="18"/>
      <c r="E88" s="18"/>
      <c r="F88" s="18"/>
      <c r="G88" s="18"/>
      <c r="H88" s="19"/>
      <c r="I88" s="340">
        <f>'SOFP '!I61/'SOFP '!I$62</f>
        <v>0.27115087370479424</v>
      </c>
      <c r="J88" s="340">
        <f>'SOFP '!J61/'SOFP '!J$62</f>
        <v>0.29091657085404632</v>
      </c>
      <c r="K88" s="340">
        <f>'SOFP '!K61/'SOFP '!K$62</f>
        <v>0.3293903433873196</v>
      </c>
      <c r="L88" s="340">
        <f>'SOFP '!L61/'SOFP '!L$62</f>
        <v>0.30606752461431114</v>
      </c>
      <c r="M88" s="340">
        <f>'SOFP '!M61/'SOFP '!M$62</f>
        <v>0.2840841609552705</v>
      </c>
      <c r="N88" s="340">
        <f>'SOFP '!N61/'SOFP '!N$62</f>
        <v>0.26805679026979329</v>
      </c>
      <c r="O88" s="340">
        <f>'SOFP '!O61/'SOFP '!O$62</f>
        <v>0.26457694901531775</v>
      </c>
      <c r="P88" s="341">
        <f>'SOFP '!P61/'SOFP '!P$62</f>
        <v>0.26975049515704641</v>
      </c>
      <c r="Q88" s="341">
        <f>'SOFP '!Q61/'SOFP '!Q$62</f>
        <v>0.26919354682325403</v>
      </c>
      <c r="R88" s="341">
        <f>'SOFP '!R61/'SOFP '!R$62</f>
        <v>0.26863008045468684</v>
      </c>
      <c r="S88" s="341">
        <f>'SOFP '!S61/'SOFP '!S$62</f>
        <v>0.26807549995686797</v>
      </c>
      <c r="T88" s="7"/>
    </row>
    <row r="89" spans="2:20" x14ac:dyDescent="0.3">
      <c r="B89" s="569" t="s">
        <v>70</v>
      </c>
      <c r="C89" s="570"/>
      <c r="D89" s="570"/>
      <c r="E89" s="570"/>
      <c r="F89" s="570"/>
      <c r="G89" s="570"/>
      <c r="H89" s="571"/>
      <c r="I89" s="336">
        <f>'SOFP '!I62/'SOFP '!I$62</f>
        <v>1</v>
      </c>
      <c r="J89" s="336">
        <f>'SOFP '!J62/'SOFP '!J$62</f>
        <v>1</v>
      </c>
      <c r="K89" s="336">
        <f>'SOFP '!K62/'SOFP '!K$62</f>
        <v>1</v>
      </c>
      <c r="L89" s="336">
        <f>'SOFP '!L62/'SOFP '!L$62</f>
        <v>1</v>
      </c>
      <c r="M89" s="336">
        <f>'SOFP '!M62/'SOFP '!M$62</f>
        <v>1</v>
      </c>
      <c r="N89" s="336">
        <f>'SOFP '!N62/'SOFP '!N$62</f>
        <v>1</v>
      </c>
      <c r="O89" s="336">
        <f>'SOFP '!O62/'SOFP '!O$62</f>
        <v>1</v>
      </c>
      <c r="P89" s="337">
        <f>'SOFP '!P62/'SOFP '!P$62</f>
        <v>1</v>
      </c>
      <c r="Q89" s="337">
        <f>'SOFP '!Q62/'SOFP '!Q$62</f>
        <v>1</v>
      </c>
      <c r="R89" s="337">
        <f>'SOFP '!R62/'SOFP '!R$62</f>
        <v>1</v>
      </c>
      <c r="S89" s="337">
        <f>'SOFP '!S62/'SOFP '!S$62</f>
        <v>1</v>
      </c>
      <c r="T89" s="7"/>
    </row>
  </sheetData>
  <mergeCells count="10">
    <mergeCell ref="F4:H4"/>
    <mergeCell ref="B38:G38"/>
    <mergeCell ref="B61:H61"/>
    <mergeCell ref="B89:H89"/>
    <mergeCell ref="B33:S33"/>
    <mergeCell ref="B6:S6"/>
    <mergeCell ref="I8:O8"/>
    <mergeCell ref="P8:S8"/>
    <mergeCell ref="I35:O35"/>
    <mergeCell ref="P35:S3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1796C-DFF7-4478-991B-BE9BB106FA6B}">
  <sheetPr codeName="Sheet9"/>
  <dimension ref="A2:S89"/>
  <sheetViews>
    <sheetView showGridLines="0" zoomScaleNormal="100" workbookViewId="0"/>
  </sheetViews>
  <sheetFormatPr defaultRowHeight="14.4" x14ac:dyDescent="0.3"/>
  <cols>
    <col min="1" max="1" width="2.88671875" customWidth="1"/>
    <col min="3" max="3" width="10.6640625" customWidth="1"/>
    <col min="4" max="5" width="1.88671875" customWidth="1"/>
    <col min="6" max="6" width="2.88671875" customWidth="1"/>
    <col min="9" max="19" width="12.77734375" customWidth="1"/>
  </cols>
  <sheetData>
    <row r="2" spans="1:19" x14ac:dyDescent="0.3">
      <c r="F2" s="1" t="s">
        <v>34</v>
      </c>
      <c r="G2" s="1"/>
      <c r="H2" s="1"/>
      <c r="I2" s="1"/>
      <c r="L2" s="86"/>
    </row>
    <row r="3" spans="1:19" x14ac:dyDescent="0.3">
      <c r="F3" s="17" t="s">
        <v>326</v>
      </c>
    </row>
    <row r="4" spans="1:19" ht="18" x14ac:dyDescent="0.3">
      <c r="F4" s="572">
        <v>2649.4</v>
      </c>
      <c r="G4" s="572"/>
      <c r="H4" s="572"/>
      <c r="O4" s="44"/>
    </row>
    <row r="5" spans="1:19" ht="18.600000000000001" thickBot="1" x14ac:dyDescent="0.35">
      <c r="F5" s="240" t="s">
        <v>272</v>
      </c>
      <c r="G5" s="239"/>
      <c r="H5" s="42"/>
    </row>
    <row r="6" spans="1:19" ht="22.2" thickTop="1" thickBot="1" x14ac:dyDescent="0.45">
      <c r="A6" s="1"/>
      <c r="B6" s="523" t="s">
        <v>290</v>
      </c>
      <c r="C6" s="523"/>
      <c r="D6" s="523"/>
      <c r="E6" s="523"/>
      <c r="F6" s="523"/>
      <c r="G6" s="523"/>
      <c r="H6" s="523"/>
      <c r="I6" s="523"/>
      <c r="J6" s="523"/>
      <c r="K6" s="523"/>
      <c r="L6" s="523"/>
      <c r="M6" s="523"/>
      <c r="N6" s="523"/>
      <c r="O6" s="523"/>
      <c r="P6" s="523"/>
      <c r="Q6" s="523"/>
      <c r="R6" s="523"/>
      <c r="S6" s="523"/>
    </row>
    <row r="7" spans="1:19" ht="15" thickTop="1" x14ac:dyDescent="0.3">
      <c r="A7" s="1"/>
      <c r="B7" s="1"/>
      <c r="S7" s="6"/>
    </row>
    <row r="8" spans="1:19" ht="15" thickBot="1" x14ac:dyDescent="0.35">
      <c r="B8" s="13"/>
      <c r="C8" s="12"/>
      <c r="D8" s="12"/>
      <c r="E8" s="12"/>
      <c r="F8" s="12"/>
      <c r="G8" s="12"/>
      <c r="H8" s="20"/>
      <c r="I8" s="565" t="s">
        <v>299</v>
      </c>
      <c r="J8" s="566"/>
      <c r="K8" s="566"/>
      <c r="L8" s="566"/>
      <c r="M8" s="566"/>
      <c r="N8" s="566"/>
      <c r="O8" s="566"/>
      <c r="P8" s="517" t="s">
        <v>21</v>
      </c>
      <c r="Q8" s="517"/>
      <c r="R8" s="517"/>
      <c r="S8" s="518"/>
    </row>
    <row r="9" spans="1:19" ht="15" thickTop="1" x14ac:dyDescent="0.3">
      <c r="B9" s="14" t="s">
        <v>18</v>
      </c>
      <c r="C9" s="15"/>
      <c r="D9" s="15"/>
      <c r="E9" s="15"/>
      <c r="F9" s="15"/>
      <c r="G9" s="15"/>
      <c r="H9" s="15"/>
      <c r="I9" s="321">
        <f>J9-1</f>
        <v>20</v>
      </c>
      <c r="J9" s="322">
        <v>21</v>
      </c>
      <c r="K9" s="322">
        <f t="shared" ref="K9:S9" si="0">J9+1</f>
        <v>22</v>
      </c>
      <c r="L9" s="322">
        <f t="shared" si="0"/>
        <v>23</v>
      </c>
      <c r="M9" s="322">
        <f t="shared" si="0"/>
        <v>24</v>
      </c>
      <c r="N9" s="322">
        <f t="shared" si="0"/>
        <v>25</v>
      </c>
      <c r="O9" s="322">
        <f t="shared" si="0"/>
        <v>26</v>
      </c>
      <c r="P9" s="323">
        <f t="shared" si="0"/>
        <v>27</v>
      </c>
      <c r="Q9" s="323">
        <f t="shared" si="0"/>
        <v>28</v>
      </c>
      <c r="R9" s="323">
        <f t="shared" si="0"/>
        <v>29</v>
      </c>
      <c r="S9" s="324">
        <f t="shared" si="0"/>
        <v>30</v>
      </c>
    </row>
    <row r="10" spans="1:19" ht="5.4" customHeight="1" x14ac:dyDescent="0.3">
      <c r="B10" s="7"/>
      <c r="I10" s="320"/>
      <c r="J10" s="70"/>
      <c r="K10" s="70"/>
      <c r="L10" s="70"/>
      <c r="M10" s="70"/>
      <c r="N10" s="70"/>
      <c r="O10" s="70"/>
      <c r="P10" s="70"/>
      <c r="Q10" s="70"/>
      <c r="R10" s="70"/>
      <c r="S10" s="325"/>
    </row>
    <row r="11" spans="1:19" x14ac:dyDescent="0.3">
      <c r="B11" s="8" t="s">
        <v>7</v>
      </c>
      <c r="I11" s="352">
        <v>0</v>
      </c>
      <c r="J11" s="327">
        <f>SOPL!J11/SOPL!I11-1</f>
        <v>7.1670843242725546E-2</v>
      </c>
      <c r="K11" s="327">
        <f>SOPL!K11/SOPL!J11-1</f>
        <v>0.34620482937091568</v>
      </c>
      <c r="L11" s="327">
        <f>SOPL!L11/SOPL!K11-1</f>
        <v>0.18823288207366473</v>
      </c>
      <c r="M11" s="327">
        <f>SOPL!M11/SOPL!L11-1</f>
        <v>2.9512774009880616E-2</v>
      </c>
      <c r="N11" s="327">
        <f>SOPL!N11/SOPL!M11-1</f>
        <v>-4.4789854310595123E-2</v>
      </c>
      <c r="O11" s="327">
        <f>SOPL!O11/SOPL!N11-1</f>
        <v>5.0862256696972752E-2</v>
      </c>
      <c r="P11" s="329">
        <f>SOPL!P11/SOPL!O11-1</f>
        <v>9.1670533011937838E-2</v>
      </c>
      <c r="Q11" s="329">
        <f>SOPL!Q11/SOPL!P11-1</f>
        <v>9.1670533011937838E-2</v>
      </c>
      <c r="R11" s="329">
        <f>SOPL!R11/SOPL!Q11-1</f>
        <v>9.1670533011937838E-2</v>
      </c>
      <c r="S11" s="330">
        <f>SOPL!S11/SOPL!R11-1</f>
        <v>9.1670533011937838E-2</v>
      </c>
    </row>
    <row r="12" spans="1:19" x14ac:dyDescent="0.3">
      <c r="B12" s="8" t="s">
        <v>4</v>
      </c>
      <c r="I12" s="352">
        <v>0</v>
      </c>
      <c r="J12" s="327">
        <f>SOPL!J12/SOPL!I12-1</f>
        <v>0.39685754618547842</v>
      </c>
      <c r="K12" s="327">
        <f>SOPL!K12/SOPL!J12-1</f>
        <v>-0.21877059624763828</v>
      </c>
      <c r="L12" s="327">
        <f>SOPL!L12/SOPL!K12-1</f>
        <v>-0.32080989876265464</v>
      </c>
      <c r="M12" s="327">
        <f>SOPL!M12/SOPL!L12-1</f>
        <v>-6.7489234845975576E-2</v>
      </c>
      <c r="N12" s="327">
        <f>SOPL!N12/SOPL!M12-1</f>
        <v>-3.862889619039156E-2</v>
      </c>
      <c r="O12" s="327">
        <f>SOPL!O12/SOPL!N12-1</f>
        <v>-0.37954923332717538</v>
      </c>
      <c r="P12" s="329">
        <f>SOPL!P12/SOPL!O12-1</f>
        <v>-6.7489234845975576E-2</v>
      </c>
      <c r="Q12" s="329">
        <f>SOPL!Q12/SOPL!P12-1</f>
        <v>-6.7489234845975576E-2</v>
      </c>
      <c r="R12" s="329">
        <f>SOPL!R12/SOPL!Q12-1</f>
        <v>-6.7489234845975576E-2</v>
      </c>
      <c r="S12" s="330">
        <f>SOPL!S12/SOPL!R12-1</f>
        <v>-6.7489234845975576E-2</v>
      </c>
    </row>
    <row r="13" spans="1:19" x14ac:dyDescent="0.3">
      <c r="A13" s="1"/>
      <c r="B13" s="9" t="s">
        <v>5</v>
      </c>
      <c r="C13" s="18"/>
      <c r="D13" s="18"/>
      <c r="E13" s="18"/>
      <c r="F13" s="18"/>
      <c r="G13" s="18"/>
      <c r="H13" s="18"/>
      <c r="I13" s="353">
        <v>0</v>
      </c>
      <c r="J13" s="336">
        <f>SOPL!J13/SOPL!I13-1</f>
        <v>7.4292287711052118E-2</v>
      </c>
      <c r="K13" s="336">
        <f>SOPL!K13/SOPL!J13-1</f>
        <v>0.34028284711453471</v>
      </c>
      <c r="L13" s="336">
        <f>SOPL!L13/SOPL!K13-1</f>
        <v>0.18512278497715573</v>
      </c>
      <c r="M13" s="336">
        <f>SOPL!M13/SOPL!L13-1</f>
        <v>2.9173126532571869E-2</v>
      </c>
      <c r="N13" s="336">
        <f>SOPL!N13/SOPL!M13-1</f>
        <v>-4.4770308155604899E-2</v>
      </c>
      <c r="O13" s="336">
        <f>SOPL!O13/SOPL!N13-1</f>
        <v>4.9487960992897317E-2</v>
      </c>
      <c r="P13" s="337">
        <f>SOPL!P13/SOPL!O13-1</f>
        <v>9.1370091807745579E-2</v>
      </c>
      <c r="Q13" s="337">
        <f>SOPL!Q13/SOPL!P13-1</f>
        <v>9.1413823890707846E-2</v>
      </c>
      <c r="R13" s="337">
        <f>SOPL!R13/SOPL!Q13-1</f>
        <v>9.1451199140751172E-2</v>
      </c>
      <c r="S13" s="338">
        <f>SOPL!S13/SOPL!R13-1</f>
        <v>9.1483139204312502E-2</v>
      </c>
    </row>
    <row r="14" spans="1:19" x14ac:dyDescent="0.3">
      <c r="B14" s="8" t="s">
        <v>3</v>
      </c>
      <c r="I14" s="352">
        <v>0</v>
      </c>
      <c r="J14" s="327">
        <f>SOPL!J14/SOPL!I14-1</f>
        <v>2.2326091135557835E-2</v>
      </c>
      <c r="K14" s="327">
        <f>SOPL!K14/SOPL!J14-1</f>
        <v>0.5755014253050037</v>
      </c>
      <c r="L14" s="327">
        <f>SOPL!L14/SOPL!K14-1</f>
        <v>6.6196071386605437E-2</v>
      </c>
      <c r="M14" s="327">
        <f>SOPL!M14/SOPL!L14-1</f>
        <v>-8.4380903581992239E-2</v>
      </c>
      <c r="N14" s="327">
        <f>SOPL!N14/SOPL!M14-1</f>
        <v>-4.6816874745165826E-3</v>
      </c>
      <c r="O14" s="327">
        <f>SOPL!O14/SOPL!N14-1</f>
        <v>-2.5951125496393557E-2</v>
      </c>
      <c r="P14" s="329">
        <f>SOPL!P14/SOPL!O14-1</f>
        <v>0.1994774943133899</v>
      </c>
      <c r="Q14" s="329">
        <f>SOPL!Q14/SOPL!P14-1</f>
        <v>9.1413823890707846E-2</v>
      </c>
      <c r="R14" s="329">
        <f>SOPL!R14/SOPL!Q14-1</f>
        <v>9.1451199140751172E-2</v>
      </c>
      <c r="S14" s="330">
        <f>SOPL!S14/SOPL!R14-1</f>
        <v>9.1483139204312502E-2</v>
      </c>
    </row>
    <row r="15" spans="1:19" x14ac:dyDescent="0.3">
      <c r="B15" s="8" t="s">
        <v>6</v>
      </c>
      <c r="I15" s="352">
        <v>0</v>
      </c>
      <c r="J15" s="327">
        <f>SOPL!J15/SOPL!I15-1</f>
        <v>0.22325143876197884</v>
      </c>
      <c r="K15" s="327">
        <f>SOPL!K15/SOPL!J15-1</f>
        <v>0.80024992123209038</v>
      </c>
      <c r="L15" s="327">
        <f>SOPL!L15/SOPL!K15-1</f>
        <v>0.22678449066040152</v>
      </c>
      <c r="M15" s="327">
        <f>SOPL!M15/SOPL!L15-1</f>
        <v>-6.7087398595142234E-2</v>
      </c>
      <c r="N15" s="327">
        <f>SOPL!N15/SOPL!M15-1</f>
        <v>1.7795863355969166E-2</v>
      </c>
      <c r="O15" s="327">
        <f>SOPL!O15/SOPL!N15-1</f>
        <v>2.2203490829823425E-2</v>
      </c>
      <c r="P15" s="329">
        <f>SOPL!P15/SOPL!O15-1</f>
        <v>9.1370091807745801E-2</v>
      </c>
      <c r="Q15" s="329">
        <f>SOPL!Q15/SOPL!P15-1</f>
        <v>9.1413823890707624E-2</v>
      </c>
      <c r="R15" s="329">
        <f>SOPL!R15/SOPL!Q15-1</f>
        <v>9.1451199140751394E-2</v>
      </c>
      <c r="S15" s="330">
        <f>SOPL!S15/SOPL!R15-1</f>
        <v>9.148313920431228E-2</v>
      </c>
    </row>
    <row r="16" spans="1:19" x14ac:dyDescent="0.3">
      <c r="B16" s="8" t="s">
        <v>9</v>
      </c>
      <c r="I16" s="352">
        <v>0</v>
      </c>
      <c r="J16" s="327">
        <f>SOPL!J16/SOPL!I16-1</f>
        <v>-0.61342253815596903</v>
      </c>
      <c r="K16" s="327">
        <f>SOPL!K16/SOPL!J16-1</f>
        <v>13.331746890210924</v>
      </c>
      <c r="L16" s="327">
        <f>SOPL!L16/SOPL!K16-1</f>
        <v>-0.76623621666905661</v>
      </c>
      <c r="M16" s="327">
        <f>SOPL!M16/SOPL!L16-1</f>
        <v>-2.1745714008975559</v>
      </c>
      <c r="N16" s="327">
        <f>SOPL!N16/SOPL!M16-1</f>
        <v>-1.5634964266080265</v>
      </c>
      <c r="O16" s="327">
        <f>SOPL!O16/SOPL!N16-1</f>
        <v>-3.944780487804878</v>
      </c>
      <c r="P16" s="329">
        <f>SOPL!P16/SOPL!O16-1</f>
        <v>-1.3889525134668834</v>
      </c>
      <c r="Q16" s="329">
        <f>SOPL!Q16/SOPL!P16-1</f>
        <v>9.1413823890707624E-2</v>
      </c>
      <c r="R16" s="329">
        <f>SOPL!R16/SOPL!Q16-1</f>
        <v>9.1451199140751172E-2</v>
      </c>
      <c r="S16" s="330">
        <f>SOPL!S16/SOPL!R16-1</f>
        <v>9.1483139204312502E-2</v>
      </c>
    </row>
    <row r="17" spans="1:19" x14ac:dyDescent="0.3">
      <c r="B17" s="10" t="s">
        <v>15</v>
      </c>
      <c r="C17" s="18"/>
      <c r="D17" s="18"/>
      <c r="E17" s="18"/>
      <c r="F17" s="18"/>
      <c r="G17" s="18"/>
      <c r="H17" s="18"/>
      <c r="I17" s="353">
        <v>0</v>
      </c>
      <c r="J17" s="340">
        <f>SOPL!J17/SOPL!I17-1</f>
        <v>6.2702376957445072E-2</v>
      </c>
      <c r="K17" s="340">
        <f>SOPL!K17/SOPL!J17-1</f>
        <v>0.51280499750769404</v>
      </c>
      <c r="L17" s="340">
        <f>SOPL!L17/SOPL!K17-1</f>
        <v>0.15604551726022176</v>
      </c>
      <c r="M17" s="340">
        <f>SOPL!M17/SOPL!L17-1</f>
        <v>-5.0400113440314032E-2</v>
      </c>
      <c r="N17" s="340">
        <f>SOPL!N17/SOPL!M17-1</f>
        <v>-2.8592533378197671E-2</v>
      </c>
      <c r="O17" s="340">
        <f>SOPL!O17/SOPL!N17-1</f>
        <v>2.4902924710157537E-2</v>
      </c>
      <c r="P17" s="341">
        <f>SOPL!P17/SOPL!O17-1</f>
        <v>0.12984109464673166</v>
      </c>
      <c r="Q17" s="341">
        <f>SOPL!Q17/SOPL!P17-1</f>
        <v>9.1413823890707846E-2</v>
      </c>
      <c r="R17" s="341">
        <f>SOPL!R17/SOPL!Q17-1</f>
        <v>9.1451199140751172E-2</v>
      </c>
      <c r="S17" s="342">
        <f>SOPL!S17/SOPL!R17-1</f>
        <v>9.1483139204312502E-2</v>
      </c>
    </row>
    <row r="18" spans="1:19" x14ac:dyDescent="0.3">
      <c r="A18" s="1"/>
      <c r="B18" s="9" t="s">
        <v>11</v>
      </c>
      <c r="C18" s="18"/>
      <c r="D18" s="18"/>
      <c r="E18" s="18"/>
      <c r="F18" s="18"/>
      <c r="G18" s="18"/>
      <c r="H18" s="18"/>
      <c r="I18" s="353">
        <v>0</v>
      </c>
      <c r="J18" s="340">
        <f>SOPL!J18/SOPL!I18-1</f>
        <v>8.9237510180917523E-2</v>
      </c>
      <c r="K18" s="340">
        <f>SOPL!K18/SOPL!J18-1</f>
        <v>0.12323463220030839</v>
      </c>
      <c r="L18" s="340">
        <f>SOPL!L18/SOPL!K18-1</f>
        <v>0.23439220112346359</v>
      </c>
      <c r="M18" s="340">
        <f>SOPL!M18/SOPL!L18-1</f>
        <v>0.15544674540900916</v>
      </c>
      <c r="N18" s="340">
        <f>SOPL!N18/SOPL!M18-1</f>
        <v>-6.58689787153377E-2</v>
      </c>
      <c r="O18" s="340">
        <f>SOPL!O18/SOPL!N18-1</f>
        <v>8.2830663857276887E-2</v>
      </c>
      <c r="P18" s="341">
        <f>SOPL!P18/SOPL!O18-1</f>
        <v>4.1986162446443043E-2</v>
      </c>
      <c r="Q18" s="341">
        <f>SOPL!Q18/SOPL!P18-1</f>
        <v>9.1413823890707624E-2</v>
      </c>
      <c r="R18" s="341">
        <f>SOPL!R18/SOPL!Q18-1</f>
        <v>9.1451199140751394E-2</v>
      </c>
      <c r="S18" s="342">
        <f>SOPL!S18/SOPL!R18-1</f>
        <v>9.148313920431228E-2</v>
      </c>
    </row>
    <row r="19" spans="1:19" x14ac:dyDescent="0.3">
      <c r="A19" s="1"/>
      <c r="B19" s="8" t="s">
        <v>24</v>
      </c>
      <c r="I19" s="352">
        <v>0</v>
      </c>
      <c r="J19" s="327">
        <f>SOPL!J19/SOPL!I19-1</f>
        <v>-4.1405146068154153E-3</v>
      </c>
      <c r="K19" s="327">
        <f>SOPL!K19/SOPL!J19-1</f>
        <v>0.25395149315294496</v>
      </c>
      <c r="L19" s="327">
        <f>SOPL!L19/SOPL!K19-1</f>
        <v>1.7025867740322775E-2</v>
      </c>
      <c r="M19" s="327">
        <f>SOPL!M19/SOPL!L19-1</f>
        <v>0.78006623887393922</v>
      </c>
      <c r="N19" s="327">
        <f>SOPL!N19/SOPL!M19-1</f>
        <v>-0.16766963195534623</v>
      </c>
      <c r="O19" s="327">
        <f>SOPL!O19/SOPL!N19-1</f>
        <v>0.26403660432056708</v>
      </c>
      <c r="P19" s="329">
        <f>SOPL!P19/SOPL!O19-1</f>
        <v>0.15535928562867984</v>
      </c>
      <c r="Q19" s="329">
        <f>SOPL!Q19/SOPL!P19-1</f>
        <v>0.15535928562867984</v>
      </c>
      <c r="R19" s="329">
        <f>SOPL!R19/SOPL!Q19-1</f>
        <v>0.15535928562867984</v>
      </c>
      <c r="S19" s="330">
        <f>SOPL!S19/SOPL!R19-1</f>
        <v>0.15535928562867984</v>
      </c>
    </row>
    <row r="20" spans="1:19" x14ac:dyDescent="0.3">
      <c r="B20" s="8" t="s">
        <v>8</v>
      </c>
      <c r="I20" s="352">
        <v>0</v>
      </c>
      <c r="J20" s="327">
        <f>SOPL!J20/SOPL!I20-1</f>
        <v>0.1278539481293326</v>
      </c>
      <c r="K20" s="327">
        <f>SOPL!K20/SOPL!J20-1</f>
        <v>0.15961057926334576</v>
      </c>
      <c r="L20" s="327">
        <f>SOPL!L20/SOPL!K20-1</f>
        <v>0.13511168822446229</v>
      </c>
      <c r="M20" s="327">
        <f>SOPL!M20/SOPL!L20-1</f>
        <v>0.14699196773286904</v>
      </c>
      <c r="N20" s="327">
        <f>SOPL!N20/SOPL!M20-1</f>
        <v>0.11652150736400468</v>
      </c>
      <c r="O20" s="327">
        <f>SOPL!O20/SOPL!N20-1</f>
        <v>7.791377737050631E-2</v>
      </c>
      <c r="P20" s="329">
        <f>SOPL!P20/SOPL!O20-1</f>
        <v>0.13148281817689744</v>
      </c>
      <c r="Q20" s="329">
        <f>SOPL!Q20/SOPL!P20-1</f>
        <v>0.13148281817689744</v>
      </c>
      <c r="R20" s="329">
        <f>SOPL!R20/SOPL!Q20-1</f>
        <v>0.13148281817689744</v>
      </c>
      <c r="S20" s="330">
        <f>SOPL!S20/SOPL!R20-1</f>
        <v>0.13148281817689744</v>
      </c>
    </row>
    <row r="21" spans="1:19" x14ac:dyDescent="0.3">
      <c r="B21" s="8" t="s">
        <v>10</v>
      </c>
      <c r="I21" s="352">
        <v>0</v>
      </c>
      <c r="J21" s="327">
        <f>SOPL!J21/SOPL!I21-1</f>
        <v>-2.4461124932953049E-2</v>
      </c>
      <c r="K21" s="327">
        <f>SOPL!K21/SOPL!J21-1</f>
        <v>0.30785192640430425</v>
      </c>
      <c r="L21" s="327">
        <f>SOPL!L21/SOPL!K21-1</f>
        <v>0.1980713734338817</v>
      </c>
      <c r="M21" s="327">
        <f>SOPL!M21/SOPL!L21-1</f>
        <v>8.9049161608031335E-2</v>
      </c>
      <c r="N21" s="327">
        <f>SOPL!N21/SOPL!M21-1</f>
        <v>5.3344401240770667E-2</v>
      </c>
      <c r="O21" s="327">
        <f>SOPL!O21/SOPL!N21-1</f>
        <v>5.1819784321858187E-2</v>
      </c>
      <c r="P21" s="329">
        <f>SOPL!P21/SOPL!O21-1</f>
        <v>-1.2480691841241121E-2</v>
      </c>
      <c r="Q21" s="329">
        <f>SOPL!Q21/SOPL!P21-1</f>
        <v>9.1413823890707846E-2</v>
      </c>
      <c r="R21" s="329">
        <f>SOPL!R21/SOPL!Q21-1</f>
        <v>9.1451199140751172E-2</v>
      </c>
      <c r="S21" s="330">
        <f>SOPL!S21/SOPL!R21-1</f>
        <v>9.1483139204312502E-2</v>
      </c>
    </row>
    <row r="22" spans="1:19" x14ac:dyDescent="0.3">
      <c r="A22" s="1"/>
      <c r="B22" s="10" t="s">
        <v>12</v>
      </c>
      <c r="C22" s="18"/>
      <c r="D22" s="18"/>
      <c r="E22" s="18"/>
      <c r="F22" s="18"/>
      <c r="G22" s="18"/>
      <c r="H22" s="18"/>
      <c r="I22" s="353">
        <v>0</v>
      </c>
      <c r="J22" s="340">
        <f>SOPL!J22/SOPL!I22-1</f>
        <v>0.15507335291799551</v>
      </c>
      <c r="K22" s="340">
        <f>SOPL!K22/SOPL!J22-1</f>
        <v>4.8404136741198034E-3</v>
      </c>
      <c r="L22" s="340">
        <f>SOPL!L22/SOPL!K22-1</f>
        <v>0.28217732009676655</v>
      </c>
      <c r="M22" s="340">
        <f>SOPL!M22/SOPL!L22-1</f>
        <v>0.24473994631615659</v>
      </c>
      <c r="N22" s="340">
        <f>SOPL!N22/SOPL!M22-1</f>
        <v>-0.204778470531636</v>
      </c>
      <c r="O22" s="340">
        <f>SOPL!O22/SOPL!N22-1</f>
        <v>0.12781927458115527</v>
      </c>
      <c r="P22" s="341">
        <f>SOPL!P22/SOPL!O22-1</f>
        <v>6.3955241609982449E-2</v>
      </c>
      <c r="Q22" s="341">
        <f>SOPL!Q22/SOPL!P22-1</f>
        <v>8.2109363031772409E-2</v>
      </c>
      <c r="R22" s="341">
        <f>SOPL!R22/SOPL!Q22-1</f>
        <v>8.188312056239222E-2</v>
      </c>
      <c r="S22" s="342">
        <f>SOPL!S22/SOPL!R22-1</f>
        <v>8.1646083452300289E-2</v>
      </c>
    </row>
    <row r="23" spans="1:19" x14ac:dyDescent="0.3">
      <c r="B23" s="7" t="s">
        <v>13</v>
      </c>
      <c r="I23" s="352">
        <v>0</v>
      </c>
      <c r="J23" s="327">
        <f>SOPL!J23/SOPL!I23-1</f>
        <v>1.3798846893017247E-2</v>
      </c>
      <c r="K23" s="327">
        <f>SOPL!K23/SOPL!J23-1</f>
        <v>3.1708519215944087E-2</v>
      </c>
      <c r="L23" s="327">
        <f>SOPL!L23/SOPL!K23-1</f>
        <v>5.1031407712283761E-2</v>
      </c>
      <c r="M23" s="327">
        <f>SOPL!M23/SOPL!L23-1</f>
        <v>-5.8506794713409915E-3</v>
      </c>
      <c r="N23" s="327">
        <f>SOPL!N23/SOPL!M23-1</f>
        <v>0.20321219226260245</v>
      </c>
      <c r="O23" s="327">
        <f>SOPL!O23/SOPL!N23-1</f>
        <v>0.19731278133951702</v>
      </c>
      <c r="P23" s="333">
        <f>SOPL!P23/SOPL!O23-1</f>
        <v>8.8880763424307174E-2</v>
      </c>
      <c r="Q23" s="333">
        <f>SOPL!Q23/SOPL!P23-1</f>
        <v>4.8474672260901741E-2</v>
      </c>
      <c r="R23" s="333">
        <f>SOPL!R23/SOPL!Q23-1</f>
        <v>5.3301712700115633E-2</v>
      </c>
      <c r="S23" s="334">
        <f>SOPL!S23/SOPL!R23-1</f>
        <v>5.758132002860572E-2</v>
      </c>
    </row>
    <row r="24" spans="1:19" x14ac:dyDescent="0.3">
      <c r="B24" s="10" t="s">
        <v>22</v>
      </c>
      <c r="C24" s="18"/>
      <c r="D24" s="18"/>
      <c r="E24" s="18"/>
      <c r="F24" s="18"/>
      <c r="G24" s="18"/>
      <c r="H24" s="18"/>
      <c r="I24" s="353">
        <v>0</v>
      </c>
      <c r="J24" s="340">
        <f>SOPL!J24/SOPL!I24-1</f>
        <v>0.18499123611480472</v>
      </c>
      <c r="K24" s="340">
        <f>SOPL!K24/SOPL!J24-1</f>
        <v>-2.7476427515327195E-5</v>
      </c>
      <c r="L24" s="340">
        <f>SOPL!L24/SOPL!K24-1</f>
        <v>0.32538479504311635</v>
      </c>
      <c r="M24" s="340">
        <f>SOPL!M24/SOPL!L24-1</f>
        <v>0.28188587322702663</v>
      </c>
      <c r="N24" s="340">
        <f>SOPL!N24/SOPL!M24-1</f>
        <v>-0.25168128044161986</v>
      </c>
      <c r="O24" s="340">
        <f>SOPL!O24/SOPL!N24-1</f>
        <v>0.1149738495230952</v>
      </c>
      <c r="P24" s="341">
        <f>SOPL!P24/SOPL!O24-1</f>
        <v>5.9007677296480043E-2</v>
      </c>
      <c r="Q24" s="341">
        <f>SOPL!Q24/SOPL!P24-1</f>
        <v>8.8973972665503442E-2</v>
      </c>
      <c r="R24" s="341">
        <f>SOPL!R24/SOPL!Q24-1</f>
        <v>8.7499448619382747E-2</v>
      </c>
      <c r="S24" s="342">
        <f>SOPL!S24/SOPL!R24-1</f>
        <v>8.622617534552135E-2</v>
      </c>
    </row>
    <row r="25" spans="1:19" x14ac:dyDescent="0.3">
      <c r="A25" s="1"/>
      <c r="B25" s="7" t="s">
        <v>20</v>
      </c>
      <c r="I25" s="352">
        <v>0</v>
      </c>
      <c r="J25" s="327">
        <f>SOPL!J25/SOPL!I25-1</f>
        <v>-0.43634213638155306</v>
      </c>
      <c r="K25" s="327">
        <f>SOPL!K25/SOPL!J25-1</f>
        <v>0.1038461538461537</v>
      </c>
      <c r="L25" s="327">
        <f>SOPL!L25/SOPL!K25-1</f>
        <v>1.9727589483687042</v>
      </c>
      <c r="M25" s="327">
        <f>SOPL!M25/SOPL!L25-1</f>
        <v>0.41715503462972836</v>
      </c>
      <c r="N25" s="327">
        <f>SOPL!N25/SOPL!M25-1</f>
        <v>5.7969924812030227E-2</v>
      </c>
      <c r="O25" s="327">
        <f>SOPL!O25/SOPL!N25-1</f>
        <v>0.17681756804775772</v>
      </c>
      <c r="P25" s="329">
        <f>SOPL!P25/SOPL!O25-1</f>
        <v>0.1038461538461537</v>
      </c>
      <c r="Q25" s="329">
        <f>SOPL!Q25/SOPL!P25-1</f>
        <v>0.1038461538461537</v>
      </c>
      <c r="R25" s="329">
        <f>SOPL!R25/SOPL!Q25-1</f>
        <v>0.1038461538461537</v>
      </c>
      <c r="S25" s="330">
        <f>SOPL!S25/SOPL!R25-1</f>
        <v>0.1038461538461537</v>
      </c>
    </row>
    <row r="26" spans="1:19" x14ac:dyDescent="0.3">
      <c r="B26" s="8" t="s">
        <v>16</v>
      </c>
      <c r="I26" s="352">
        <v>0</v>
      </c>
      <c r="J26" s="354">
        <v>0</v>
      </c>
      <c r="K26" s="354">
        <v>0</v>
      </c>
      <c r="L26" s="327">
        <f>SOPL!L26/SOPL!K26-1</f>
        <v>-0.57761452031114957</v>
      </c>
      <c r="M26" s="327">
        <f>SOPL!M26/SOPL!L26-1</f>
        <v>-1</v>
      </c>
      <c r="N26" s="354">
        <v>0</v>
      </c>
      <c r="O26" s="327">
        <f>SOPL!O26/SOPL!N26-1</f>
        <v>-0.56593225006885151</v>
      </c>
      <c r="P26" s="329">
        <f>SOPL!P26/SOPL!O26-1</f>
        <v>-1</v>
      </c>
      <c r="Q26" s="357">
        <v>0</v>
      </c>
      <c r="R26" s="357">
        <v>0</v>
      </c>
      <c r="S26" s="358">
        <v>0</v>
      </c>
    </row>
    <row r="27" spans="1:19" x14ac:dyDescent="0.3">
      <c r="B27" s="8" t="s">
        <v>17</v>
      </c>
      <c r="H27" s="44"/>
      <c r="I27" s="352">
        <v>0</v>
      </c>
      <c r="J27" s="327">
        <f>SOPL!J27/SOPL!I27-1</f>
        <v>-0.10456366656894367</v>
      </c>
      <c r="K27" s="327">
        <f>SOPL!K27/SOPL!J27-1</f>
        <v>4.1252864782276522E-2</v>
      </c>
      <c r="L27" s="327">
        <f>SOPL!L27/SOPL!K27-1</f>
        <v>0.51399224399958077</v>
      </c>
      <c r="M27" s="327">
        <f>SOPL!M27/SOPL!L27-1</f>
        <v>0.42035306334371758</v>
      </c>
      <c r="N27" s="327">
        <f>SOPL!N27/SOPL!M27-1</f>
        <v>0.10649705122581277</v>
      </c>
      <c r="O27" s="327">
        <f>SOPL!O27/SOPL!N27-1</f>
        <v>-0.13923883358294431</v>
      </c>
      <c r="P27" s="329">
        <f>SOPL!P27/SOPL!O27-1</f>
        <v>7.3874958004044533E-2</v>
      </c>
      <c r="Q27" s="329">
        <f>SOPL!Q27/SOPL!P27-1</f>
        <v>7.3874958004044533E-2</v>
      </c>
      <c r="R27" s="329">
        <f>SOPL!R27/SOPL!Q27-1</f>
        <v>7.3874958004044533E-2</v>
      </c>
      <c r="S27" s="330">
        <f>SOPL!S27/SOPL!R27-1</f>
        <v>7.3874958004044533E-2</v>
      </c>
    </row>
    <row r="28" spans="1:19" x14ac:dyDescent="0.3">
      <c r="B28" s="9" t="s">
        <v>23</v>
      </c>
      <c r="C28" s="18"/>
      <c r="D28" s="18"/>
      <c r="E28" s="18"/>
      <c r="F28" s="18"/>
      <c r="G28" s="18"/>
      <c r="H28" s="18"/>
      <c r="I28" s="353">
        <v>0</v>
      </c>
      <c r="J28" s="340">
        <f>SOPL!J28/SOPL!I28-1</f>
        <v>0.18446941240895076</v>
      </c>
      <c r="K28" s="340">
        <f>SOPL!K28/SOPL!J28-1</f>
        <v>-2.709584490108885E-2</v>
      </c>
      <c r="L28" s="340">
        <f>SOPL!L28/SOPL!K28-1</f>
        <v>0.35845519757767974</v>
      </c>
      <c r="M28" s="340">
        <f>SOPL!M28/SOPL!L28-1</f>
        <v>0.291613565531049</v>
      </c>
      <c r="N28" s="340">
        <f>SOPL!N28/SOPL!M28-1</f>
        <v>-0.30549404785397383</v>
      </c>
      <c r="O28" s="340">
        <f>SOPL!O28/SOPL!N28-1</f>
        <v>0.17643692914265263</v>
      </c>
      <c r="P28" s="341">
        <f>SOPL!P28/SOPL!O28-1</f>
        <v>8.756293695219286E-2</v>
      </c>
      <c r="Q28" s="341">
        <f>SOPL!Q28/SOPL!P28-1</f>
        <v>8.9875609064470119E-2</v>
      </c>
      <c r="R28" s="341">
        <f>SOPL!R28/SOPL!Q28-1</f>
        <v>8.839441124893721E-2</v>
      </c>
      <c r="S28" s="342">
        <f>SOPL!S28/SOPL!R28-1</f>
        <v>8.7118793468460076E-2</v>
      </c>
    </row>
    <row r="29" spans="1:19" x14ac:dyDescent="0.3">
      <c r="B29" s="8" t="s">
        <v>14</v>
      </c>
      <c r="I29" s="352">
        <v>0</v>
      </c>
      <c r="J29" s="327">
        <f>SOPL!J29/SOPL!I29-1</f>
        <v>0.28396794759314492</v>
      </c>
      <c r="K29" s="327">
        <f>SOPL!K29/SOPL!J29-1</f>
        <v>4.8378279883383168E-3</v>
      </c>
      <c r="L29" s="327">
        <f>SOPL!L29/SOPL!K29-1</f>
        <v>0.35414494383041206</v>
      </c>
      <c r="M29" s="327">
        <f>SOPL!M29/SOPL!L29-1</f>
        <v>0.19858051556745893</v>
      </c>
      <c r="N29" s="327">
        <f>SOPL!N29/SOPL!M29-1</f>
        <v>-0.22162138005005361</v>
      </c>
      <c r="O29" s="327">
        <f>SOPL!O29/SOPL!N29-1</f>
        <v>0.15458316587242349</v>
      </c>
      <c r="P29" s="329">
        <f>SOPL!P29/SOPL!O29-1</f>
        <v>8.756293695219286E-2</v>
      </c>
      <c r="Q29" s="329">
        <f>SOPL!Q29/SOPL!P29-1</f>
        <v>8.9875609064470119E-2</v>
      </c>
      <c r="R29" s="329">
        <f>SOPL!R29/SOPL!Q29-1</f>
        <v>8.839441124893721E-2</v>
      </c>
      <c r="S29" s="330">
        <f>SOPL!S29/SOPL!R29-1</f>
        <v>8.7118793468460076E-2</v>
      </c>
    </row>
    <row r="30" spans="1:19" x14ac:dyDescent="0.3">
      <c r="B30" s="8" t="s">
        <v>95</v>
      </c>
      <c r="I30" s="352">
        <v>0</v>
      </c>
      <c r="J30" s="327">
        <f>SOPL!J30/SOPL!I30-1</f>
        <v>-1</v>
      </c>
      <c r="K30" s="354">
        <v>0</v>
      </c>
      <c r="L30" s="354">
        <v>0</v>
      </c>
      <c r="M30" s="354">
        <v>0</v>
      </c>
      <c r="N30" s="354">
        <v>0</v>
      </c>
      <c r="O30" s="354">
        <v>0</v>
      </c>
      <c r="P30" s="355">
        <v>0</v>
      </c>
      <c r="Q30" s="355">
        <v>0</v>
      </c>
      <c r="R30" s="355">
        <v>0</v>
      </c>
      <c r="S30" s="356">
        <v>0</v>
      </c>
    </row>
    <row r="31" spans="1:19" x14ac:dyDescent="0.3">
      <c r="B31" s="10" t="s">
        <v>19</v>
      </c>
      <c r="C31" s="18"/>
      <c r="D31" s="90"/>
      <c r="E31" s="90"/>
      <c r="F31" s="90"/>
      <c r="G31" s="90"/>
      <c r="H31" s="90"/>
      <c r="I31" s="353">
        <v>0</v>
      </c>
      <c r="J31" s="340">
        <f>SOPL!J31/SOPL!I31-1</f>
        <v>0.15592299013405797</v>
      </c>
      <c r="K31" s="340">
        <f>SOPL!K31/SOPL!J31-1</f>
        <v>-3.8026038824355402E-2</v>
      </c>
      <c r="L31" s="340">
        <f>SOPL!L31/SOPL!K31-1</f>
        <v>0.35999623963874616</v>
      </c>
      <c r="M31" s="340">
        <f>SOPL!M31/SOPL!L31-1</f>
        <v>0.32473250018472855</v>
      </c>
      <c r="N31" s="340">
        <f>SOPL!N31/SOPL!M31-1</f>
        <v>-0.33250865017660092</v>
      </c>
      <c r="O31" s="340">
        <f>SOPL!O31/SOPL!N31-1</f>
        <v>0.18464516094249839</v>
      </c>
      <c r="P31" s="341">
        <f>SOPL!P31/SOPL!O31-1</f>
        <v>8.756293695219286E-2</v>
      </c>
      <c r="Q31" s="341">
        <f>SOPL!Q31/SOPL!P31-1</f>
        <v>8.9875609064470119E-2</v>
      </c>
      <c r="R31" s="341">
        <f>SOPL!R31/SOPL!Q31-1</f>
        <v>8.8394411248937432E-2</v>
      </c>
      <c r="S31" s="342">
        <f>SOPL!S31/SOPL!R31-1</f>
        <v>8.7118793468460076E-2</v>
      </c>
    </row>
    <row r="32" spans="1:19" ht="15" thickBot="1" x14ac:dyDescent="0.35">
      <c r="B32" s="1"/>
      <c r="C32" s="1"/>
      <c r="D32" s="1"/>
      <c r="E32" s="1"/>
      <c r="F32" s="1"/>
      <c r="G32" s="1"/>
      <c r="H32" s="1"/>
      <c r="I32" s="89"/>
      <c r="J32" s="89"/>
      <c r="K32" s="89"/>
      <c r="L32" s="89"/>
      <c r="M32" s="89"/>
      <c r="N32" s="89"/>
      <c r="O32" s="89"/>
      <c r="P32" s="266"/>
      <c r="Q32" s="266"/>
      <c r="R32" s="266"/>
      <c r="S32" s="266"/>
    </row>
    <row r="33" spans="1:19" ht="22.2" thickTop="1" thickBot="1" x14ac:dyDescent="0.45">
      <c r="B33" s="523" t="s">
        <v>291</v>
      </c>
      <c r="C33" s="523"/>
      <c r="D33" s="523"/>
      <c r="E33" s="523"/>
      <c r="F33" s="523"/>
      <c r="G33" s="523"/>
      <c r="H33" s="523"/>
      <c r="I33" s="523"/>
      <c r="J33" s="523"/>
      <c r="K33" s="523"/>
      <c r="L33" s="523"/>
      <c r="M33" s="523"/>
      <c r="N33" s="523"/>
      <c r="O33" s="523"/>
      <c r="P33" s="523"/>
      <c r="Q33" s="523"/>
      <c r="R33" s="523"/>
      <c r="S33" s="523"/>
    </row>
    <row r="34" spans="1:19" ht="15" thickTop="1" x14ac:dyDescent="0.3">
      <c r="B34" s="1"/>
    </row>
    <row r="35" spans="1:19" ht="15" thickBot="1" x14ac:dyDescent="0.35">
      <c r="A35" s="1"/>
      <c r="B35" s="13"/>
      <c r="C35" s="12"/>
      <c r="D35" s="12"/>
      <c r="E35" s="12"/>
      <c r="F35" s="12"/>
      <c r="G35" s="12"/>
      <c r="H35" s="20"/>
      <c r="I35" s="565" t="s">
        <v>299</v>
      </c>
      <c r="J35" s="566"/>
      <c r="K35" s="566"/>
      <c r="L35" s="566"/>
      <c r="M35" s="566"/>
      <c r="N35" s="566"/>
      <c r="O35" s="566"/>
      <c r="P35" s="517" t="s">
        <v>21</v>
      </c>
      <c r="Q35" s="517"/>
      <c r="R35" s="517"/>
      <c r="S35" s="518"/>
    </row>
    <row r="36" spans="1:19" ht="15" thickTop="1" x14ac:dyDescent="0.3">
      <c r="B36" s="14" t="s">
        <v>18</v>
      </c>
      <c r="C36" s="15"/>
      <c r="D36" s="15"/>
      <c r="E36" s="15"/>
      <c r="F36" s="15"/>
      <c r="G36" s="15"/>
      <c r="H36" s="21"/>
      <c r="I36" s="29">
        <f>J36-1</f>
        <v>20</v>
      </c>
      <c r="J36" s="29">
        <v>21</v>
      </c>
      <c r="K36" s="29">
        <f t="shared" ref="K36:S36" si="1">J36+1</f>
        <v>22</v>
      </c>
      <c r="L36" s="29">
        <f t="shared" si="1"/>
        <v>23</v>
      </c>
      <c r="M36" s="29">
        <f t="shared" si="1"/>
        <v>24</v>
      </c>
      <c r="N36" s="29">
        <f t="shared" si="1"/>
        <v>25</v>
      </c>
      <c r="O36" s="29">
        <f t="shared" si="1"/>
        <v>26</v>
      </c>
      <c r="P36" s="30">
        <f t="shared" si="1"/>
        <v>27</v>
      </c>
      <c r="Q36" s="30">
        <f t="shared" si="1"/>
        <v>28</v>
      </c>
      <c r="R36" s="30">
        <f t="shared" si="1"/>
        <v>29</v>
      </c>
      <c r="S36" s="31">
        <f t="shared" si="1"/>
        <v>30</v>
      </c>
    </row>
    <row r="37" spans="1:19" ht="5.4" customHeight="1" x14ac:dyDescent="0.3">
      <c r="B37" s="7"/>
      <c r="H37" s="11"/>
      <c r="J37" s="23"/>
      <c r="K37" s="23"/>
      <c r="L37" s="23"/>
      <c r="M37" s="23"/>
      <c r="N37" s="23"/>
      <c r="O37" s="23"/>
      <c r="P37" s="23"/>
      <c r="Q37" s="23"/>
      <c r="R37" s="23"/>
      <c r="S37" s="227"/>
    </row>
    <row r="38" spans="1:19" ht="18" x14ac:dyDescent="0.35">
      <c r="B38" s="567" t="s">
        <v>37</v>
      </c>
      <c r="C38" s="568"/>
      <c r="D38" s="568"/>
      <c r="E38" s="568"/>
      <c r="F38" s="568"/>
      <c r="G38" s="568"/>
      <c r="H38" s="11"/>
      <c r="I38" s="344"/>
      <c r="J38" s="345"/>
      <c r="K38" s="345"/>
      <c r="L38" s="345"/>
      <c r="M38" s="345"/>
      <c r="N38" s="345"/>
      <c r="O38" s="345"/>
      <c r="P38" s="347"/>
      <c r="Q38" s="347"/>
      <c r="R38" s="347"/>
      <c r="S38" s="365"/>
    </row>
    <row r="39" spans="1:19" x14ac:dyDescent="0.3">
      <c r="B39" s="41" t="s">
        <v>38</v>
      </c>
      <c r="H39" s="11"/>
      <c r="I39" s="344"/>
      <c r="J39" s="345"/>
      <c r="K39" s="345"/>
      <c r="L39" s="345"/>
      <c r="M39" s="345"/>
      <c r="N39" s="345"/>
      <c r="O39" s="345"/>
      <c r="P39" s="347"/>
      <c r="Q39" s="347"/>
      <c r="R39" s="347"/>
      <c r="S39" s="365"/>
    </row>
    <row r="40" spans="1:19" x14ac:dyDescent="0.3">
      <c r="B40" s="49" t="s">
        <v>39</v>
      </c>
      <c r="H40" s="11"/>
      <c r="I40" s="359" t="s">
        <v>236</v>
      </c>
      <c r="J40" s="349">
        <f>'SOFP '!J13/'SOFP '!I13-1</f>
        <v>-6.0529806328125657E-2</v>
      </c>
      <c r="K40" s="349">
        <f>'SOFP '!K13/'SOFP '!J13-1</f>
        <v>-6.5207144213477619E-2</v>
      </c>
      <c r="L40" s="349">
        <f>'SOFP '!L13/'SOFP '!K13-1</f>
        <v>-9.2747929242962268E-3</v>
      </c>
      <c r="M40" s="349">
        <f>'SOFP '!M13/'SOFP '!L13-1</f>
        <v>7.2497678289291212E-2</v>
      </c>
      <c r="N40" s="349">
        <f>'SOFP '!N13/'SOFP '!M13-1</f>
        <v>0.52661148846205763</v>
      </c>
      <c r="O40" s="349">
        <f>'SOFP '!O13/'SOFP '!N13-1</f>
        <v>5.2832951756285551E-2</v>
      </c>
      <c r="P40" s="329">
        <f>'SOFP '!P13/'SOFP '!O13-1</f>
        <v>2.4700430729923673E-2</v>
      </c>
      <c r="Q40" s="329">
        <f>'SOFP '!Q13/'SOFP '!P13-1</f>
        <v>3.276835755873031E-2</v>
      </c>
      <c r="R40" s="329">
        <f>'SOFP '!R13/'SOFP '!Q13-1</f>
        <v>4.0268104039868025E-2</v>
      </c>
      <c r="S40" s="330">
        <f>'SOFP '!S13/'SOFP '!R13-1</f>
        <v>4.7135498003987752E-2</v>
      </c>
    </row>
    <row r="41" spans="1:19" x14ac:dyDescent="0.3">
      <c r="B41" s="49" t="s">
        <v>116</v>
      </c>
      <c r="H41" s="11"/>
      <c r="I41" s="359" t="s">
        <v>236</v>
      </c>
      <c r="J41" s="349">
        <f>'SOFP '!J14/'SOFP '!I14-1</f>
        <v>-8.1013813866034901E-2</v>
      </c>
      <c r="K41" s="349">
        <f>'SOFP '!K14/'SOFP '!J14-1</f>
        <v>7.1196262787534881E-2</v>
      </c>
      <c r="L41" s="349">
        <f>'SOFP '!L14/'SOFP '!K14-1</f>
        <v>0.33471708528843513</v>
      </c>
      <c r="M41" s="349">
        <f>'SOFP '!M14/'SOFP '!L14-1</f>
        <v>0.53547794725871012</v>
      </c>
      <c r="N41" s="349">
        <f>'SOFP '!N14/'SOFP '!M14-1</f>
        <v>-6.7608699165531139E-3</v>
      </c>
      <c r="O41" s="349">
        <f>'SOFP '!O14/'SOFP '!N14-1</f>
        <v>9.494391773154276E-2</v>
      </c>
      <c r="P41" s="329">
        <f>'SOFP '!P14/'SOFP '!O14-1</f>
        <v>7.1196262787534659E-2</v>
      </c>
      <c r="Q41" s="329">
        <f>'SOFP '!Q14/'SOFP '!P14-1</f>
        <v>7.1196262787534659E-2</v>
      </c>
      <c r="R41" s="329">
        <f>'SOFP '!R14/'SOFP '!Q14-1</f>
        <v>7.1196262787534659E-2</v>
      </c>
      <c r="S41" s="330">
        <f>'SOFP '!S14/'SOFP '!R14-1</f>
        <v>7.1196262787534659E-2</v>
      </c>
    </row>
    <row r="42" spans="1:19" x14ac:dyDescent="0.3">
      <c r="B42" s="7" t="s">
        <v>117</v>
      </c>
      <c r="H42" s="11"/>
      <c r="I42" s="359" t="s">
        <v>236</v>
      </c>
      <c r="J42" s="349">
        <f>'SOFP '!J15/'SOFP '!I15-1</f>
        <v>0.30476326297775236</v>
      </c>
      <c r="K42" s="327">
        <f>'SOFP '!K15/'SOFP '!J15-1</f>
        <v>1.3304732757678437</v>
      </c>
      <c r="L42" s="349">
        <f>'SOFP '!L15/'SOFP '!K15-1</f>
        <v>1.3909903149403187</v>
      </c>
      <c r="M42" s="349">
        <f>'SOFP '!M15/'SOFP '!L15-1</f>
        <v>1.6465245834109785</v>
      </c>
      <c r="N42" s="349">
        <f>'SOFP '!N15/'SOFP '!M15-1</f>
        <v>-0.53509340824275387</v>
      </c>
      <c r="O42" s="349">
        <f>'SOFP '!O15/'SOFP '!N15-1</f>
        <v>0.47364267550956973</v>
      </c>
      <c r="P42" s="329">
        <f>'SOFP '!P15/'SOFP '!O15-1</f>
        <v>-5.5054351311933925E-4</v>
      </c>
      <c r="Q42" s="329">
        <f>'SOFP '!Q15/'SOFP '!P15-1</f>
        <v>3.276835755873031E-2</v>
      </c>
      <c r="R42" s="329">
        <f>'SOFP '!R15/'SOFP '!Q15-1</f>
        <v>4.0268104039867803E-2</v>
      </c>
      <c r="S42" s="330">
        <f>'SOFP '!S15/'SOFP '!R15-1</f>
        <v>4.7135498003987752E-2</v>
      </c>
    </row>
    <row r="43" spans="1:19" x14ac:dyDescent="0.3">
      <c r="B43" s="8" t="s">
        <v>192</v>
      </c>
      <c r="H43" s="11"/>
      <c r="I43" s="359" t="s">
        <v>236</v>
      </c>
      <c r="J43" s="349">
        <f>'SOFP '!J16/'SOFP '!I16-1</f>
        <v>-8.6542062438293765E-2</v>
      </c>
      <c r="K43" s="349">
        <f>'SOFP '!K16/'SOFP '!J16-1</f>
        <v>-0.20083112817263604</v>
      </c>
      <c r="L43" s="349">
        <f>'SOFP '!L16/'SOFP '!K16-1</f>
        <v>-3.0220356768100864E-2</v>
      </c>
      <c r="M43" s="349">
        <f>'SOFP '!M16/'SOFP '!L16-1</f>
        <v>1.0297434417754694</v>
      </c>
      <c r="N43" s="327">
        <f>'SOFP '!N16/'SOFP '!M16-1</f>
        <v>-0.30254101759166019</v>
      </c>
      <c r="O43" s="349">
        <f>'SOFP '!O16/'SOFP '!N16-1</f>
        <v>-0.19274407228751955</v>
      </c>
      <c r="P43" s="329">
        <f>'SOFP '!P16/'SOFP '!O16-1</f>
        <v>0.45357478374466553</v>
      </c>
      <c r="Q43" s="329">
        <f>'SOFP '!Q16/'SOFP '!P16-1</f>
        <v>0.10739214742572578</v>
      </c>
      <c r="R43" s="329">
        <f>'SOFP '!R16/'SOFP '!Q16-1</f>
        <v>0.10907319453462971</v>
      </c>
      <c r="S43" s="330">
        <f>'SOFP '!S16/'SOFP '!R16-1</f>
        <v>0.11025110984870179</v>
      </c>
    </row>
    <row r="44" spans="1:19" x14ac:dyDescent="0.3">
      <c r="B44" s="8" t="s">
        <v>40</v>
      </c>
      <c r="H44" s="11"/>
      <c r="I44" s="359" t="s">
        <v>236</v>
      </c>
      <c r="J44" s="349">
        <f>'SOFP '!J17/'SOFP '!I17-1</f>
        <v>5.9720123513566703E-2</v>
      </c>
      <c r="K44" s="349">
        <f>'SOFP '!K17/'SOFP '!J17-1</f>
        <v>6.5240752221533471E-2</v>
      </c>
      <c r="L44" s="349">
        <f>'SOFP '!L17/'SOFP '!K17-1</f>
        <v>0.51653830484800278</v>
      </c>
      <c r="M44" s="349">
        <f>'SOFP '!M17/'SOFP '!L17-1</f>
        <v>-0.25405191050618503</v>
      </c>
      <c r="N44" s="349">
        <f>'SOFP '!N17/'SOFP '!M17-1</f>
        <v>4.2649151990122203E-2</v>
      </c>
      <c r="O44" s="349">
        <f>'SOFP '!O17/'SOFP '!N17-1</f>
        <v>7.9095394736842239E-2</v>
      </c>
      <c r="P44" s="329">
        <f>'SOFP '!P17/'SOFP '!O17-1</f>
        <v>6.0872273363482332E-2</v>
      </c>
      <c r="Q44" s="329">
        <f>'SOFP '!Q17/'SOFP '!P17-1</f>
        <v>6.0872273363482332E-2</v>
      </c>
      <c r="R44" s="329">
        <f>'SOFP '!R17/'SOFP '!Q17-1</f>
        <v>6.0872273363482332E-2</v>
      </c>
      <c r="S44" s="330">
        <f>'SOFP '!S17/'SOFP '!R17-1</f>
        <v>6.0872273363482332E-2</v>
      </c>
    </row>
    <row r="45" spans="1:19" x14ac:dyDescent="0.3">
      <c r="B45" s="7" t="s">
        <v>41</v>
      </c>
      <c r="H45" s="11"/>
      <c r="I45" s="359" t="s">
        <v>236</v>
      </c>
      <c r="J45" s="349">
        <f>'SOFP '!J18/'SOFP '!I18-1</f>
        <v>0.15485589201021521</v>
      </c>
      <c r="K45" s="349">
        <f>'SOFP '!K18/'SOFP '!J18-1</f>
        <v>-0.34302755365728843</v>
      </c>
      <c r="L45" s="349">
        <f>'SOFP '!L18/'SOFP '!K18-1</f>
        <v>0.10436522056914233</v>
      </c>
      <c r="M45" s="349">
        <f>'SOFP '!M18/'SOFP '!L18-1</f>
        <v>0.2275826635200684</v>
      </c>
      <c r="N45" s="349">
        <f>'SOFP '!N18/'SOFP '!M18-1</f>
        <v>0.2473415763973128</v>
      </c>
      <c r="O45" s="349">
        <f>'SOFP '!O18/'SOFP '!N18-1</f>
        <v>-5.3345769305140123E-2</v>
      </c>
      <c r="P45" s="329">
        <f>'SOFP '!P18/'SOFP '!O18-1</f>
        <v>0.10436522056914233</v>
      </c>
      <c r="Q45" s="329">
        <f>'SOFP '!Q18/'SOFP '!P18-1</f>
        <v>0.10436522056914233</v>
      </c>
      <c r="R45" s="329">
        <f>'SOFP '!R18/'SOFP '!Q18-1</f>
        <v>0.10436522056914233</v>
      </c>
      <c r="S45" s="330">
        <f>'SOFP '!S18/'SOFP '!R18-1</f>
        <v>0.10436522056914233</v>
      </c>
    </row>
    <row r="46" spans="1:19" x14ac:dyDescent="0.3">
      <c r="B46" s="7" t="s">
        <v>42</v>
      </c>
      <c r="H46" s="11"/>
      <c r="I46" s="359" t="s">
        <v>236</v>
      </c>
      <c r="J46" s="349">
        <f>'SOFP '!J19/'SOFP '!I19-1</f>
        <v>-0.15000000000000002</v>
      </c>
      <c r="K46" s="349">
        <f>'SOFP '!K19/'SOFP '!J19-1</f>
        <v>0.82212885154061621</v>
      </c>
      <c r="L46" s="349">
        <f>'SOFP '!L19/'SOFP '!K19-1</f>
        <v>-0.28247501921598761</v>
      </c>
      <c r="M46" s="349">
        <f>'SOFP '!M19/'SOFP '!L19-1</f>
        <v>0.24906266738082472</v>
      </c>
      <c r="N46" s="349">
        <f>'SOFP '!N19/'SOFP '!M19-1</f>
        <v>-0.30874785591766718</v>
      </c>
      <c r="O46" s="349">
        <f>'SOFP '!O19/'SOFP '!N19-1</f>
        <v>-2.3573200992555887E-2</v>
      </c>
      <c r="P46" s="329">
        <f>'SOFP '!P19/'SOFP '!O19-1</f>
        <v>1.301020408163267E-2</v>
      </c>
      <c r="Q46" s="329">
        <f>'SOFP '!Q19/'SOFP '!P19-1</f>
        <v>1.301020408163267E-2</v>
      </c>
      <c r="R46" s="329">
        <f>'SOFP '!R19/'SOFP '!Q19-1</f>
        <v>1.301020408163267E-2</v>
      </c>
      <c r="S46" s="330">
        <f>'SOFP '!S19/'SOFP '!R19-1</f>
        <v>1.301020408163267E-2</v>
      </c>
    </row>
    <row r="47" spans="1:19" x14ac:dyDescent="0.3">
      <c r="B47" s="7" t="s">
        <v>44</v>
      </c>
      <c r="H47" s="11"/>
      <c r="I47" s="359" t="s">
        <v>236</v>
      </c>
      <c r="J47" s="349">
        <f>'SOFP '!J20/'SOFP '!I20-1</f>
        <v>-0.39851436247975036</v>
      </c>
      <c r="K47" s="349">
        <f>'SOFP '!K20/'SOFP '!J20-1</f>
        <v>0.13289102016685295</v>
      </c>
      <c r="L47" s="349">
        <f>'SOFP '!L20/'SOFP '!K20-1</f>
        <v>9.8921489040937116E-2</v>
      </c>
      <c r="M47" s="349">
        <f>'SOFP '!M20/'SOFP '!L20-1</f>
        <v>4.5325031658927761E-2</v>
      </c>
      <c r="N47" s="349">
        <f>'SOFP '!N20/'SOFP '!M20-1</f>
        <v>0.118671445156731</v>
      </c>
      <c r="O47" s="349">
        <f>'SOFP '!O20/'SOFP '!N20-1</f>
        <v>0.12183015973287614</v>
      </c>
      <c r="P47" s="329">
        <f>'SOFP '!P20/'SOFP '!O20-1</f>
        <v>9.8921489040937116E-2</v>
      </c>
      <c r="Q47" s="329">
        <f>'SOFP '!Q20/'SOFP '!P20-1</f>
        <v>9.8921489040937116E-2</v>
      </c>
      <c r="R47" s="329">
        <f>'SOFP '!R20/'SOFP '!Q20-1</f>
        <v>9.8921489040937116E-2</v>
      </c>
      <c r="S47" s="330">
        <f>'SOFP '!S20/'SOFP '!R20-1</f>
        <v>9.8921489040937116E-2</v>
      </c>
    </row>
    <row r="48" spans="1:19" x14ac:dyDescent="0.3">
      <c r="B48" s="8" t="s">
        <v>43</v>
      </c>
      <c r="H48" s="11"/>
      <c r="I48" s="359" t="s">
        <v>236</v>
      </c>
      <c r="J48" s="349">
        <f>'SOFP '!J21/'SOFP '!I21-1</f>
        <v>5.0545398678752296E-2</v>
      </c>
      <c r="K48" s="349">
        <f>'SOFP '!K21/'SOFP '!J21-1</f>
        <v>0.94311202105878933</v>
      </c>
      <c r="L48" s="349">
        <f>'SOFP '!L21/'SOFP '!K21-1</f>
        <v>1.5177993527508091</v>
      </c>
      <c r="M48" s="349">
        <f>'SOFP '!M21/'SOFP '!L21-1</f>
        <v>-2.0117175823518907E-2</v>
      </c>
      <c r="N48" s="349">
        <f>'SOFP '!N21/'SOFP '!M21-1</f>
        <v>-8.1724169488423204E-2</v>
      </c>
      <c r="O48" s="349">
        <f>'SOFP '!O21/'SOFP '!N21-1</f>
        <v>-8.3416384293402257E-2</v>
      </c>
      <c r="P48" s="329">
        <f>'SOFP '!P21/'SOFP '!O21-1</f>
        <v>5.9038257300257468E-2</v>
      </c>
      <c r="Q48" s="329">
        <f>'SOFP '!Q21/'SOFP '!P21-1</f>
        <v>5.9038257300257468E-2</v>
      </c>
      <c r="R48" s="329">
        <f>'SOFP '!R21/'SOFP '!Q21-1</f>
        <v>5.9038257300257468E-2</v>
      </c>
      <c r="S48" s="330">
        <f>'SOFP '!S21/'SOFP '!R21-1</f>
        <v>5.9038257300257468E-2</v>
      </c>
    </row>
    <row r="49" spans="2:19" x14ac:dyDescent="0.3">
      <c r="B49" s="9" t="s">
        <v>50</v>
      </c>
      <c r="C49" s="18"/>
      <c r="D49" s="18"/>
      <c r="E49" s="18"/>
      <c r="F49" s="18"/>
      <c r="G49" s="18"/>
      <c r="H49" s="19"/>
      <c r="I49" s="360" t="s">
        <v>236</v>
      </c>
      <c r="J49" s="340">
        <f>'SOFP '!J22/'SOFP '!I22-1</f>
        <v>-2.7014482206874857E-2</v>
      </c>
      <c r="K49" s="340">
        <f>'SOFP '!K22/'SOFP '!J22-1</f>
        <v>-6.1236818322381814E-2</v>
      </c>
      <c r="L49" s="340">
        <f>'SOFP '!L22/'SOFP '!K22-1</f>
        <v>0.18267340132684384</v>
      </c>
      <c r="M49" s="340">
        <f>'SOFP '!M22/'SOFP '!L22-1</f>
        <v>0.33728208627159662</v>
      </c>
      <c r="N49" s="340">
        <f>'SOFP '!N22/'SOFP '!M22-1</f>
        <v>8.0137046572100301E-2</v>
      </c>
      <c r="O49" s="340">
        <f>'SOFP '!O22/'SOFP '!N22-1</f>
        <v>7.2509901200999316E-2</v>
      </c>
      <c r="P49" s="341">
        <f>'SOFP '!P22/'SOFP '!O22-1</f>
        <v>5.5021254530951857E-2</v>
      </c>
      <c r="Q49" s="341">
        <f>'SOFP '!Q22/'SOFP '!P22-1</f>
        <v>5.3328241427264667E-2</v>
      </c>
      <c r="R49" s="341">
        <f>'SOFP '!R22/'SOFP '!Q22-1</f>
        <v>5.8616638987874836E-2</v>
      </c>
      <c r="S49" s="342">
        <f>'SOFP '!S22/'SOFP '!R22-1</f>
        <v>6.3292511709271304E-2</v>
      </c>
    </row>
    <row r="50" spans="2:19" x14ac:dyDescent="0.3">
      <c r="B50" s="7"/>
      <c r="H50" s="11"/>
      <c r="I50" s="359"/>
      <c r="J50" s="327"/>
      <c r="K50" s="327"/>
      <c r="L50" s="327"/>
      <c r="M50" s="327"/>
      <c r="N50" s="327"/>
      <c r="O50" s="327"/>
      <c r="P50" s="329"/>
      <c r="Q50" s="329"/>
      <c r="R50" s="329"/>
      <c r="S50" s="330"/>
    </row>
    <row r="51" spans="2:19" x14ac:dyDescent="0.3">
      <c r="B51" s="22" t="s">
        <v>45</v>
      </c>
      <c r="H51" s="11"/>
      <c r="I51" s="359"/>
      <c r="J51" s="349"/>
      <c r="K51" s="349"/>
      <c r="L51" s="349"/>
      <c r="M51" s="349"/>
      <c r="N51" s="349"/>
      <c r="O51" s="349"/>
      <c r="P51" s="329"/>
      <c r="Q51" s="329"/>
      <c r="R51" s="329"/>
      <c r="S51" s="330"/>
    </row>
    <row r="52" spans="2:19" x14ac:dyDescent="0.3">
      <c r="B52" s="49" t="s">
        <v>46</v>
      </c>
      <c r="H52" s="11"/>
      <c r="I52" s="359" t="s">
        <v>236</v>
      </c>
      <c r="J52" s="349">
        <f>'SOFP '!J25/'SOFP '!I25-1</f>
        <v>0.12059377959236661</v>
      </c>
      <c r="K52" s="349">
        <f>'SOFP '!K25/'SOFP '!J25-1</f>
        <v>0.61980203232769959</v>
      </c>
      <c r="L52" s="349">
        <f>'SOFP '!L25/'SOFP '!K25-1</f>
        <v>9.3710689779586964E-3</v>
      </c>
      <c r="M52" s="349">
        <f>'SOFP '!M25/'SOFP '!L25-1</f>
        <v>-4.6248051730578554E-2</v>
      </c>
      <c r="N52" s="349">
        <f>'SOFP '!N25/'SOFP '!M25-1</f>
        <v>0.134358418546074</v>
      </c>
      <c r="O52" s="349">
        <f>'SOFP '!O25/'SOFP '!N25-1</f>
        <v>-0.14519136751462591</v>
      </c>
      <c r="P52" s="329">
        <f>'SOFP '!P25/'SOFP '!O25-1</f>
        <v>0.17164513005695525</v>
      </c>
      <c r="Q52" s="329">
        <f>'SOFP '!Q25/'SOFP '!P25-1</f>
        <v>9.1413823890708068E-2</v>
      </c>
      <c r="R52" s="329">
        <f>'SOFP '!R25/'SOFP '!Q25-1</f>
        <v>9.1451199140751172E-2</v>
      </c>
      <c r="S52" s="330">
        <f>'SOFP '!S25/'SOFP '!R25-1</f>
        <v>9.1483139204312502E-2</v>
      </c>
    </row>
    <row r="53" spans="2:19" x14ac:dyDescent="0.3">
      <c r="B53" s="8" t="s">
        <v>41</v>
      </c>
      <c r="H53" s="11"/>
      <c r="I53" s="359"/>
      <c r="J53" s="349"/>
      <c r="K53" s="349"/>
      <c r="L53" s="349"/>
      <c r="M53" s="349"/>
      <c r="N53" s="349"/>
      <c r="O53" s="349"/>
      <c r="P53" s="329"/>
      <c r="Q53" s="329"/>
      <c r="R53" s="329"/>
      <c r="S53" s="330"/>
    </row>
    <row r="54" spans="2:19" x14ac:dyDescent="0.3">
      <c r="B54" s="49" t="s">
        <v>75</v>
      </c>
      <c r="H54" s="11"/>
      <c r="I54" s="359" t="s">
        <v>236</v>
      </c>
      <c r="J54" s="348">
        <f>'SOFP '!J27/'SOFP '!I27-1</f>
        <v>0.44949922572163858</v>
      </c>
      <c r="K54" s="348">
        <f>'SOFP '!K27/'SOFP '!J27-1</f>
        <v>0.48777366582506132</v>
      </c>
      <c r="L54" s="348">
        <f>'SOFP '!L27/'SOFP '!K27-1</f>
        <v>0.19773004360134716</v>
      </c>
      <c r="M54" s="348">
        <f>'SOFP '!M27/'SOFP '!L27-1</f>
        <v>5.4369907740881018E-2</v>
      </c>
      <c r="N54" s="348">
        <f>'SOFP '!N27/'SOFP '!M27-1</f>
        <v>-0.11769157607306135</v>
      </c>
      <c r="O54" s="348">
        <f>'SOFP '!O27/'SOFP '!N27-1</f>
        <v>3.4344464664495478E-2</v>
      </c>
      <c r="P54" s="329">
        <f>'SOFP '!P27/'SOFP '!O27-1</f>
        <v>0.10734848154426269</v>
      </c>
      <c r="Q54" s="329">
        <f>'SOFP '!Q27/'SOFP '!P27-1</f>
        <v>9.1413823890707846E-2</v>
      </c>
      <c r="R54" s="329">
        <f>'SOFP '!R27/'SOFP '!Q27-1</f>
        <v>9.1451199140751172E-2</v>
      </c>
      <c r="S54" s="330">
        <f>'SOFP '!S27/'SOFP '!R27-1</f>
        <v>9.148313920431228E-2</v>
      </c>
    </row>
    <row r="55" spans="2:19" x14ac:dyDescent="0.3">
      <c r="B55" s="49" t="s">
        <v>73</v>
      </c>
      <c r="H55" s="11"/>
      <c r="I55" s="359" t="s">
        <v>236</v>
      </c>
      <c r="J55" s="349">
        <f>'SOFP '!J28/'SOFP '!I28-1</f>
        <v>-0.38564815635918637</v>
      </c>
      <c r="K55" s="349">
        <f>'SOFP '!K28/'SOFP '!J28-1</f>
        <v>0.79485550968561469</v>
      </c>
      <c r="L55" s="349">
        <f>'SOFP '!L28/'SOFP '!K28-1</f>
        <v>-0.15862446117223183</v>
      </c>
      <c r="M55" s="349">
        <f>'SOFP '!M28/'SOFP '!L28-1</f>
        <v>0.58543299560313522</v>
      </c>
      <c r="N55" s="349">
        <f>'SOFP '!N28/'SOFP '!M28-1</f>
        <v>-0.46309113270793645</v>
      </c>
      <c r="O55" s="349">
        <f>'SOFP '!O28/'SOFP '!N28-1</f>
        <v>0.51102676967301486</v>
      </c>
      <c r="P55" s="329">
        <f>'SOFP '!P28/'SOFP '!O28-1</f>
        <v>-5.5053647269204919E-2</v>
      </c>
      <c r="Q55" s="329">
        <f>'SOFP '!Q28/'SOFP '!P28-1</f>
        <v>0.22799806814709678</v>
      </c>
      <c r="R55" s="329">
        <f>'SOFP '!R28/'SOFP '!Q28-1</f>
        <v>0.1454382008042443</v>
      </c>
      <c r="S55" s="330">
        <f>'SOFP '!S28/'SOFP '!R28-1</f>
        <v>9.0638992635363014E-2</v>
      </c>
    </row>
    <row r="56" spans="2:19" x14ac:dyDescent="0.3">
      <c r="B56" s="49" t="s">
        <v>47</v>
      </c>
      <c r="H56" s="11"/>
      <c r="I56" s="359" t="s">
        <v>236</v>
      </c>
      <c r="J56" s="349">
        <f>'SOFP '!J29/'SOFP '!I29-1</f>
        <v>0.207123287671233</v>
      </c>
      <c r="K56" s="349">
        <f>'SOFP '!K29/'SOFP '!J29-1</f>
        <v>-8.2274171584203359E-2</v>
      </c>
      <c r="L56" s="349">
        <f>'SOFP '!L29/'SOFP '!K29-1</f>
        <v>0.32195705041012324</v>
      </c>
      <c r="M56" s="349">
        <f>'SOFP '!M29/'SOFP '!L29-1</f>
        <v>-0.2059428785233226</v>
      </c>
      <c r="N56" s="349">
        <f>'SOFP '!N29/'SOFP '!M29-1</f>
        <v>0.32210311383358858</v>
      </c>
      <c r="O56" s="349">
        <f>'SOFP '!O29/'SOFP '!N29-1</f>
        <v>0.19052569052569068</v>
      </c>
      <c r="P56" s="329">
        <f>'SOFP '!P29/'SOFP '!O29-1</f>
        <v>-5.505364726920503E-2</v>
      </c>
      <c r="Q56" s="329">
        <f>'SOFP '!Q29/'SOFP '!P29-1</f>
        <v>0.227998068147097</v>
      </c>
      <c r="R56" s="329">
        <f>'SOFP '!R29/'SOFP '!Q29-1</f>
        <v>0.14543820080424408</v>
      </c>
      <c r="S56" s="330">
        <f>'SOFP '!S29/'SOFP '!R29-1</f>
        <v>9.0638992635362792E-2</v>
      </c>
    </row>
    <row r="57" spans="2:19" x14ac:dyDescent="0.3">
      <c r="B57" s="49" t="s">
        <v>48</v>
      </c>
      <c r="H57" s="11"/>
      <c r="I57" s="359" t="s">
        <v>236</v>
      </c>
      <c r="J57" s="349">
        <f>'SOFP '!J30/'SOFP '!I30-1</f>
        <v>2.4006398537477147</v>
      </c>
      <c r="K57" s="349">
        <f>'SOFP '!K30/'SOFP '!J30-1</f>
        <v>-0.16803304393014895</v>
      </c>
      <c r="L57" s="349">
        <f>'SOFP '!L30/'SOFP '!K30-1</f>
        <v>0.1549674223251305</v>
      </c>
      <c r="M57" s="349">
        <f>'SOFP '!M30/'SOFP '!L30-1</f>
        <v>0.13170372373408434</v>
      </c>
      <c r="N57" s="327">
        <f>'SOFP '!N30/'SOFP '!M30-1</f>
        <v>-9.3040644645667414E-2</v>
      </c>
      <c r="O57" s="349">
        <f>'SOFP '!O30/'SOFP '!N30-1</f>
        <v>0.84166047780298769</v>
      </c>
      <c r="P57" s="329">
        <f>'SOFP '!P30/'SOFP '!O30-1</f>
        <v>0.12986254196207003</v>
      </c>
      <c r="Q57" s="329">
        <f>'SOFP '!Q30/'SOFP '!P30-1</f>
        <v>0.12986254196207003</v>
      </c>
      <c r="R57" s="329">
        <f>'SOFP '!R30/'SOFP '!Q30-1</f>
        <v>0.12986254196207003</v>
      </c>
      <c r="S57" s="330">
        <f>'SOFP '!S30/'SOFP '!R30-1</f>
        <v>0.12986254196207003</v>
      </c>
    </row>
    <row r="58" spans="2:19" x14ac:dyDescent="0.3">
      <c r="B58" s="7" t="s">
        <v>49</v>
      </c>
      <c r="H58" s="11"/>
      <c r="I58" s="359" t="s">
        <v>236</v>
      </c>
      <c r="J58" s="349">
        <f>'SOFP '!J31/'SOFP '!I31-1</f>
        <v>0.88112328863055445</v>
      </c>
      <c r="K58" s="349">
        <f>'SOFP '!K31/'SOFP '!J31-1</f>
        <v>7.4828285836605613E-3</v>
      </c>
      <c r="L58" s="349">
        <f>'SOFP '!L31/'SOFP '!K31-1</f>
        <v>2.3519630484988507E-2</v>
      </c>
      <c r="M58" s="349">
        <f>'SOFP '!M31/'SOFP '!L31-1</f>
        <v>0.41851691396801338</v>
      </c>
      <c r="N58" s="349">
        <f>'SOFP '!N31/'SOFP '!M31-1</f>
        <v>-1.5423183131211604E-2</v>
      </c>
      <c r="O58" s="349">
        <f>'SOFP '!O31/'SOFP '!N31-1</f>
        <v>2.9468405474919468E-2</v>
      </c>
      <c r="P58" s="329">
        <f>'SOFP '!P31/'SOFP '!O31-1</f>
        <v>2.2139342939078599E-2</v>
      </c>
      <c r="Q58" s="329">
        <f>'SOFP '!Q31/'SOFP '!P31-1</f>
        <v>2.2139342939078599E-2</v>
      </c>
      <c r="R58" s="329">
        <f>'SOFP '!R31/'SOFP '!Q31-1</f>
        <v>2.2139342939078599E-2</v>
      </c>
      <c r="S58" s="330">
        <f>'SOFP '!S31/'SOFP '!R31-1</f>
        <v>2.2139342939078599E-2</v>
      </c>
    </row>
    <row r="59" spans="2:19" x14ac:dyDescent="0.3">
      <c r="B59" s="7" t="s">
        <v>72</v>
      </c>
      <c r="H59" s="11"/>
      <c r="I59" s="359" t="s">
        <v>236</v>
      </c>
      <c r="J59" s="349">
        <f>'SOFP '!J32/'SOFP '!I32-1</f>
        <v>-2.6695526695526661E-2</v>
      </c>
      <c r="K59" s="349">
        <f>'SOFP '!K32/'SOFP '!J32-1</f>
        <v>-0.39733135656041507</v>
      </c>
      <c r="L59" s="349">
        <f>'SOFP '!L32/'SOFP '!K32-1</f>
        <v>-1</v>
      </c>
      <c r="M59" s="363" t="s">
        <v>236</v>
      </c>
      <c r="N59" s="363" t="s">
        <v>236</v>
      </c>
      <c r="O59" s="363" t="s">
        <v>236</v>
      </c>
      <c r="P59" s="364" t="s">
        <v>236</v>
      </c>
      <c r="Q59" s="364" t="s">
        <v>236</v>
      </c>
      <c r="R59" s="364" t="s">
        <v>236</v>
      </c>
      <c r="S59" s="366" t="s">
        <v>236</v>
      </c>
    </row>
    <row r="60" spans="2:19" x14ac:dyDescent="0.3">
      <c r="B60" s="9" t="s">
        <v>51</v>
      </c>
      <c r="C60" s="18"/>
      <c r="D60" s="18"/>
      <c r="E60" s="18"/>
      <c r="F60" s="18"/>
      <c r="G60" s="18"/>
      <c r="H60" s="19"/>
      <c r="I60" s="360" t="s">
        <v>236</v>
      </c>
      <c r="J60" s="340">
        <f>'SOFP '!J33/'SOFP '!I33-1</f>
        <v>0.58659966675945352</v>
      </c>
      <c r="K60" s="340">
        <f>'SOFP '!K33/'SOFP '!J33-1</f>
        <v>0.25990138526266771</v>
      </c>
      <c r="L60" s="340">
        <f>'SOFP '!L33/'SOFP '!K33-1</f>
        <v>9.1261871936527239E-2</v>
      </c>
      <c r="M60" s="340">
        <f>'SOFP '!M33/'SOFP '!L33-1</f>
        <v>6.0592095873278629E-2</v>
      </c>
      <c r="N60" s="340">
        <f>'SOFP '!N33/'SOFP '!M33-1</f>
        <v>-3.1098713239277376E-2</v>
      </c>
      <c r="O60" s="340">
        <f>'SOFP '!O33/'SOFP '!N33-1</f>
        <v>0.18791314337369802</v>
      </c>
      <c r="P60" s="341">
        <f>'SOFP '!P33/'SOFP '!O33-1</f>
        <v>0.12268825395569016</v>
      </c>
      <c r="Q60" s="341">
        <f>'SOFP '!Q33/'SOFP '!P33-1</f>
        <v>0.11058514414576348</v>
      </c>
      <c r="R60" s="341">
        <f>'SOFP '!R33/'SOFP '!Q33-1</f>
        <v>0.10763148054399885</v>
      </c>
      <c r="S60" s="342">
        <f>'SOFP '!S33/'SOFP '!R33-1</f>
        <v>0.10542721606425198</v>
      </c>
    </row>
    <row r="61" spans="2:19" x14ac:dyDescent="0.3">
      <c r="B61" s="569" t="s">
        <v>52</v>
      </c>
      <c r="C61" s="570"/>
      <c r="D61" s="570"/>
      <c r="E61" s="570"/>
      <c r="F61" s="570"/>
      <c r="G61" s="570"/>
      <c r="H61" s="571"/>
      <c r="I61" s="360" t="s">
        <v>236</v>
      </c>
      <c r="J61" s="336">
        <f>'SOFP '!J34/'SOFP '!I34-1</f>
        <v>0.26090436446944154</v>
      </c>
      <c r="K61" s="336">
        <f>'SOFP '!K34/'SOFP '!J34-1</f>
        <v>0.1283691104694149</v>
      </c>
      <c r="L61" s="336">
        <f>'SOFP '!L34/'SOFP '!K34-1</f>
        <v>0.12241102136444426</v>
      </c>
      <c r="M61" s="336">
        <f>'SOFP '!M34/'SOFP '!L34-1</f>
        <v>0.15993836731529587</v>
      </c>
      <c r="N61" s="336">
        <f>'SOFP '!N34/'SOFP '!M34-1</f>
        <v>1.4947154616899105E-2</v>
      </c>
      <c r="O61" s="336">
        <f>'SOFP '!O34/'SOFP '!N34-1</f>
        <v>0.13707382972845816</v>
      </c>
      <c r="P61" s="337">
        <f>'SOFP '!P34/'SOFP '!O34-1</f>
        <v>9.4571108119887004E-2</v>
      </c>
      <c r="Q61" s="337">
        <f>'SOFP '!Q34/'SOFP '!P34-1</f>
        <v>8.7653278188692729E-2</v>
      </c>
      <c r="R61" s="337">
        <f>'SOFP '!R34/'SOFP '!Q34-1</f>
        <v>8.8620154871619228E-2</v>
      </c>
      <c r="S61" s="338">
        <f>'SOFP '!S34/'SOFP '!R34-1</f>
        <v>8.9534903624744144E-2</v>
      </c>
    </row>
    <row r="62" spans="2:19" x14ac:dyDescent="0.3">
      <c r="B62" s="7"/>
      <c r="H62" s="11"/>
      <c r="I62" s="361"/>
      <c r="J62" s="345"/>
      <c r="K62" s="345"/>
      <c r="L62" s="345"/>
      <c r="M62" s="345"/>
      <c r="N62" s="345"/>
      <c r="O62" s="345"/>
      <c r="P62" s="347"/>
      <c r="Q62" s="347"/>
      <c r="R62" s="347"/>
      <c r="S62" s="365"/>
    </row>
    <row r="63" spans="2:19" ht="18" x14ac:dyDescent="0.35">
      <c r="B63" s="50" t="s">
        <v>53</v>
      </c>
      <c r="C63" s="1"/>
      <c r="D63" s="1"/>
      <c r="E63" s="1"/>
      <c r="F63" s="1"/>
      <c r="G63" s="1"/>
      <c r="H63" s="11"/>
      <c r="I63" s="361"/>
      <c r="J63" s="345"/>
      <c r="K63" s="345"/>
      <c r="L63" s="345"/>
      <c r="M63" s="345"/>
      <c r="N63" s="345"/>
      <c r="O63" s="345"/>
      <c r="P63" s="347"/>
      <c r="Q63" s="347"/>
      <c r="R63" s="347"/>
      <c r="S63" s="365"/>
    </row>
    <row r="64" spans="2:19" x14ac:dyDescent="0.3">
      <c r="B64" s="22" t="s">
        <v>54</v>
      </c>
      <c r="H64" s="11"/>
      <c r="I64" s="359"/>
      <c r="J64" s="327"/>
      <c r="K64" s="327"/>
      <c r="L64" s="327"/>
      <c r="M64" s="327"/>
      <c r="N64" s="327"/>
      <c r="O64" s="327"/>
      <c r="P64" s="329"/>
      <c r="Q64" s="329"/>
      <c r="R64" s="329"/>
      <c r="S64" s="330"/>
    </row>
    <row r="65" spans="2:19" x14ac:dyDescent="0.3">
      <c r="B65" s="7" t="s">
        <v>55</v>
      </c>
      <c r="H65" s="11"/>
      <c r="I65" s="359" t="s">
        <v>236</v>
      </c>
      <c r="J65" s="327">
        <f>'SOFP '!J38/'SOFP '!I38-1</f>
        <v>0</v>
      </c>
      <c r="K65" s="327">
        <f>'SOFP '!K38/'SOFP '!J38-1</f>
        <v>0</v>
      </c>
      <c r="L65" s="327">
        <f>'SOFP '!L38/'SOFP '!K38-1</f>
        <v>0</v>
      </c>
      <c r="M65" s="327">
        <f>'SOFP '!M38/'SOFP '!L38-1</f>
        <v>0</v>
      </c>
      <c r="N65" s="327">
        <f>'SOFP '!N38/'SOFP '!M38-1</f>
        <v>0</v>
      </c>
      <c r="O65" s="327">
        <f>'SOFP '!O38/'SOFP '!N38-1</f>
        <v>0</v>
      </c>
      <c r="P65" s="329">
        <f>'SOFP '!P38/'SOFP '!O38-1</f>
        <v>0</v>
      </c>
      <c r="Q65" s="329">
        <f>'SOFP '!Q38/'SOFP '!P38-1</f>
        <v>0</v>
      </c>
      <c r="R65" s="329">
        <f>'SOFP '!R38/'SOFP '!Q38-1</f>
        <v>0</v>
      </c>
      <c r="S65" s="330">
        <f>'SOFP '!S38/'SOFP '!R38-1</f>
        <v>0</v>
      </c>
    </row>
    <row r="66" spans="2:19" x14ac:dyDescent="0.3">
      <c r="B66" s="7" t="s">
        <v>56</v>
      </c>
      <c r="H66" s="11"/>
      <c r="I66" s="359" t="s">
        <v>236</v>
      </c>
      <c r="J66" s="327">
        <f>'SOFP '!J39/'SOFP '!I39-1</f>
        <v>0.26669981981694679</v>
      </c>
      <c r="K66" s="327">
        <f>'SOFP '!K39/'SOFP '!J39-1</f>
        <v>7.9090537883633516E-2</v>
      </c>
      <c r="L66" s="327">
        <f>'SOFP '!L39/'SOFP '!K39-1</f>
        <v>0.15899148709064992</v>
      </c>
      <c r="M66" s="327">
        <f>'SOFP '!M39/'SOFP '!L39-1</f>
        <v>0.17211981900202011</v>
      </c>
      <c r="N66" s="327">
        <f>'SOFP '!N39/'SOFP '!M39-1</f>
        <v>3.6039947661007155E-2</v>
      </c>
      <c r="O66" s="327">
        <f>'SOFP '!O39/'SOFP '!N39-1</f>
        <v>0.10214417923019647</v>
      </c>
      <c r="P66" s="329">
        <f>'SOFP '!P39/'SOFP '!O39-1</f>
        <v>8.4205041635659228E-2</v>
      </c>
      <c r="Q66" s="329">
        <f>'SOFP '!Q39/'SOFP '!P39-1</f>
        <v>8.4645447599572154E-2</v>
      </c>
      <c r="R66" s="329">
        <f>'SOFP '!R39/'SOFP '!Q39-1</f>
        <v>8.4938015744155493E-2</v>
      </c>
      <c r="S66" s="330">
        <f>'SOFP '!S39/'SOFP '!R39-1</f>
        <v>8.5108745251273321E-2</v>
      </c>
    </row>
    <row r="67" spans="2:19" x14ac:dyDescent="0.3">
      <c r="B67" s="7" t="s">
        <v>113</v>
      </c>
      <c r="H67" s="75"/>
      <c r="I67" s="359" t="s">
        <v>236</v>
      </c>
      <c r="J67" s="348">
        <f>'SOFP '!J40/'SOFP '!I40-1</f>
        <v>4.7902262533145112E-2</v>
      </c>
      <c r="K67" s="348">
        <f>'SOFP '!K40/'SOFP '!J40-1</f>
        <v>-8.3550111147897788E-2</v>
      </c>
      <c r="L67" s="348">
        <f>'SOFP '!L40/'SOFP '!K40-1</f>
        <v>0.17064485330168</v>
      </c>
      <c r="M67" s="348">
        <f>'SOFP '!M40/'SOFP '!L40-1</f>
        <v>0.53282193713353609</v>
      </c>
      <c r="N67" s="348">
        <f>'SOFP '!N40/'SOFP '!M40-1</f>
        <v>-5.1971583882193917E-2</v>
      </c>
      <c r="O67" s="348">
        <f>'SOFP '!O40/'SOFP '!N40-1</f>
        <v>-2.4042837206480261E-2</v>
      </c>
      <c r="P67" s="329">
        <f>'SOFP '!P40/'SOFP '!O40-1</f>
        <v>9.5825204572979938E-2</v>
      </c>
      <c r="Q67" s="329">
        <f>'SOFP '!Q40/'SOFP '!P40-1</f>
        <v>9.5304938015548846E-2</v>
      </c>
      <c r="R67" s="329">
        <f>'SOFP '!R40/'SOFP '!Q40-1</f>
        <v>9.4703637590171308E-2</v>
      </c>
      <c r="S67" s="330">
        <f>'SOFP '!S40/'SOFP '!R40-1</f>
        <v>9.4047467002795093E-2</v>
      </c>
    </row>
    <row r="68" spans="2:19" x14ac:dyDescent="0.3">
      <c r="B68" s="9" t="s">
        <v>57</v>
      </c>
      <c r="C68" s="18"/>
      <c r="D68" s="18"/>
      <c r="E68" s="18"/>
      <c r="F68" s="18"/>
      <c r="G68" s="18"/>
      <c r="H68" s="19"/>
      <c r="I68" s="360" t="s">
        <v>236</v>
      </c>
      <c r="J68" s="340">
        <f>'SOFP '!J41/'SOFP '!I41-1</f>
        <v>0.2558894366551514</v>
      </c>
      <c r="K68" s="340">
        <f>'SOFP '!K41/'SOFP '!J41-1</f>
        <v>7.3318391582225528E-2</v>
      </c>
      <c r="L68" s="340">
        <f>'SOFP '!L41/'SOFP '!K41-1</f>
        <v>0.15823549255621305</v>
      </c>
      <c r="M68" s="340">
        <f>'SOFP '!M41/'SOFP '!L41-1</f>
        <v>0.18106590765230712</v>
      </c>
      <c r="N68" s="340">
        <f>'SOFP '!N41/'SOFP '!M41-1</f>
        <v>3.271110314832204E-2</v>
      </c>
      <c r="O68" s="340">
        <f>'SOFP '!O41/'SOFP '!N41-1</f>
        <v>9.7508605841253537E-2</v>
      </c>
      <c r="P68" s="341">
        <f>'SOFP '!P41/'SOFP '!O41-1</f>
        <v>8.4177757896975347E-2</v>
      </c>
      <c r="Q68" s="341">
        <f>'SOFP '!Q41/'SOFP '!P41-1</f>
        <v>8.4620150606673494E-2</v>
      </c>
      <c r="R68" s="341">
        <f>'SOFP '!R41/'SOFP '!Q41-1</f>
        <v>8.4914611763234671E-2</v>
      </c>
      <c r="S68" s="342">
        <f>'SOFP '!S41/'SOFP '!R41-1</f>
        <v>8.5087129703103281E-2</v>
      </c>
    </row>
    <row r="69" spans="2:19" x14ac:dyDescent="0.3">
      <c r="B69" s="7"/>
      <c r="H69" s="11"/>
      <c r="I69" s="359"/>
      <c r="J69" s="327"/>
      <c r="K69" s="327"/>
      <c r="L69" s="327"/>
      <c r="M69" s="327"/>
      <c r="N69" s="327"/>
      <c r="O69" s="327"/>
      <c r="P69" s="329"/>
      <c r="Q69" s="329"/>
      <c r="R69" s="329"/>
      <c r="S69" s="330"/>
    </row>
    <row r="70" spans="2:19" x14ac:dyDescent="0.3">
      <c r="B70" s="22" t="s">
        <v>58</v>
      </c>
      <c r="H70" s="11"/>
      <c r="I70" s="359"/>
      <c r="J70" s="327"/>
      <c r="K70" s="327"/>
      <c r="L70" s="327"/>
      <c r="M70" s="327"/>
      <c r="N70" s="327"/>
      <c r="O70" s="327"/>
      <c r="P70" s="329"/>
      <c r="Q70" s="329"/>
      <c r="R70" s="329"/>
      <c r="S70" s="330"/>
    </row>
    <row r="71" spans="2:19" x14ac:dyDescent="0.3">
      <c r="B71" s="22" t="s">
        <v>59</v>
      </c>
      <c r="H71" s="11"/>
      <c r="I71" s="359"/>
      <c r="J71" s="327"/>
      <c r="K71" s="327"/>
      <c r="L71" s="327"/>
      <c r="M71" s="327"/>
      <c r="N71" s="327"/>
      <c r="O71" s="327"/>
      <c r="P71" s="329"/>
      <c r="Q71" s="329"/>
      <c r="R71" s="329"/>
      <c r="S71" s="330"/>
    </row>
    <row r="72" spans="2:19" x14ac:dyDescent="0.3">
      <c r="B72" s="7" t="s">
        <v>60</v>
      </c>
      <c r="H72" s="11"/>
      <c r="I72" s="359"/>
      <c r="J72" s="327"/>
      <c r="K72" s="327"/>
      <c r="L72" s="327"/>
      <c r="M72" s="327"/>
      <c r="N72" s="327"/>
      <c r="O72" s="327"/>
      <c r="P72" s="329"/>
      <c r="Q72" s="329"/>
      <c r="R72" s="329"/>
      <c r="S72" s="330"/>
    </row>
    <row r="73" spans="2:19" x14ac:dyDescent="0.3">
      <c r="B73" s="49" t="s">
        <v>112</v>
      </c>
      <c r="H73" s="11"/>
      <c r="I73" s="359" t="s">
        <v>236</v>
      </c>
      <c r="J73" s="327">
        <f>'SOFP '!J46/'SOFP '!I46-1</f>
        <v>-4.844560463775982E-2</v>
      </c>
      <c r="K73" s="327">
        <f>'SOFP '!K46/'SOFP '!J46-1</f>
        <v>6.5929172010830817E-2</v>
      </c>
      <c r="L73" s="327">
        <f>'SOFP '!L46/'SOFP '!K46-1</f>
        <v>0.21820946905760663</v>
      </c>
      <c r="M73" s="327">
        <f>'SOFP '!M46/'SOFP '!L46-1</f>
        <v>0.50257908744203905</v>
      </c>
      <c r="N73" s="327">
        <f>'SOFP '!N46/'SOFP '!M46-1</f>
        <v>2.5573135881821196E-2</v>
      </c>
      <c r="O73" s="327">
        <f>'SOFP '!O46/'SOFP '!N46-1</f>
        <v>0.16348259592272774</v>
      </c>
      <c r="P73" s="329">
        <f>'SOFP '!P46/'SOFP '!O46-1</f>
        <v>0.19084603249016707</v>
      </c>
      <c r="Q73" s="329">
        <f>'SOFP '!Q46/'SOFP '!P46-1</f>
        <v>0.19084603249016707</v>
      </c>
      <c r="R73" s="329">
        <f>'SOFP '!R46/'SOFP '!Q46-1</f>
        <v>0.19084603249016729</v>
      </c>
      <c r="S73" s="330">
        <f>'SOFP '!S46/'SOFP '!R46-1</f>
        <v>0.19084603249016707</v>
      </c>
    </row>
    <row r="74" spans="2:19" x14ac:dyDescent="0.3">
      <c r="B74" s="49" t="s">
        <v>61</v>
      </c>
      <c r="H74" s="11"/>
      <c r="I74" s="359" t="s">
        <v>236</v>
      </c>
      <c r="J74" s="327">
        <f>'SOFP '!J47/'SOFP '!I47-1</f>
        <v>-0.22007514761137947</v>
      </c>
      <c r="K74" s="327">
        <f>'SOFP '!K47/'SOFP '!J47-1</f>
        <v>2.0653819683413626</v>
      </c>
      <c r="L74" s="327">
        <f>'SOFP '!L47/'SOFP '!K47-1</f>
        <v>0.70969914683430635</v>
      </c>
      <c r="M74" s="327">
        <f>'SOFP '!M47/'SOFP '!L47-1</f>
        <v>-0.28588312541037431</v>
      </c>
      <c r="N74" s="327">
        <f>'SOFP '!N47/'SOFP '!M47-1</f>
        <v>3.7741816844428095</v>
      </c>
      <c r="O74" s="327">
        <f>'SOFP '!O47/'SOFP '!N47-1</f>
        <v>3.8038286726754489</v>
      </c>
      <c r="P74" s="329">
        <f>'SOFP '!P47/'SOFP '!O47-1</f>
        <v>7.3003641043984713E-2</v>
      </c>
      <c r="Q74" s="329">
        <f>'SOFP '!Q47/'SOFP '!P47-1</f>
        <v>8.4294925074873239E-2</v>
      </c>
      <c r="R74" s="329">
        <f>'SOFP '!R47/'SOFP '!Q47-1</f>
        <v>8.4613626077614024E-2</v>
      </c>
      <c r="S74" s="330">
        <f>'SOFP '!S47/'SOFP '!R47-1</f>
        <v>8.4809060923511481E-2</v>
      </c>
    </row>
    <row r="75" spans="2:19" x14ac:dyDescent="0.3">
      <c r="B75" s="49" t="s">
        <v>62</v>
      </c>
      <c r="H75" s="11"/>
      <c r="I75" s="359" t="s">
        <v>236</v>
      </c>
      <c r="J75" s="327">
        <f>'SOFP '!J48/'SOFP '!I48-1</f>
        <v>0.14965986394557818</v>
      </c>
      <c r="K75" s="327">
        <f>'SOFP '!K48/'SOFP '!J48-1</f>
        <v>-0.35502958579881649</v>
      </c>
      <c r="L75" s="327">
        <f>'SOFP '!L48/'SOFP '!K48-1</f>
        <v>20.275229357798164</v>
      </c>
      <c r="M75" s="327">
        <f>'SOFP '!M48/'SOFP '!L48-1</f>
        <v>4.1871496334626999</v>
      </c>
      <c r="N75" s="327">
        <f>'SOFP '!N48/'SOFP '!M48-1</f>
        <v>-0.66776124366115219</v>
      </c>
      <c r="O75" s="327">
        <f>'SOFP '!O48/'SOFP '!N48-1</f>
        <v>0.42199424496434368</v>
      </c>
      <c r="P75" s="329">
        <f>'SOFP '!P48/'SOFP '!O48-1</f>
        <v>2.7757998884057056E-3</v>
      </c>
      <c r="Q75" s="329">
        <f>'SOFP '!Q48/'SOFP '!P48-1</f>
        <v>2.7757998884057056E-3</v>
      </c>
      <c r="R75" s="329">
        <f>'SOFP '!R48/'SOFP '!Q48-1</f>
        <v>2.7757998884057056E-3</v>
      </c>
      <c r="S75" s="330">
        <f>'SOFP '!S48/'SOFP '!R48-1</f>
        <v>2.7757998884057056E-3</v>
      </c>
    </row>
    <row r="76" spans="2:19" x14ac:dyDescent="0.3">
      <c r="B76" s="7" t="s">
        <v>63</v>
      </c>
      <c r="H76" s="11"/>
      <c r="I76" s="359" t="s">
        <v>236</v>
      </c>
      <c r="J76" s="327">
        <f>'SOFP '!J49/'SOFP '!I49-1</f>
        <v>-6.3564668769716115E-2</v>
      </c>
      <c r="K76" s="327">
        <f>'SOFP '!K49/'SOFP '!J49-1</f>
        <v>-0.1605909670588801</v>
      </c>
      <c r="L76" s="327">
        <f>'SOFP '!L49/'SOFP '!K49-1</f>
        <v>-4.016052744732701E-2</v>
      </c>
      <c r="M76" s="327">
        <f>'SOFP '!M49/'SOFP '!L49-1</f>
        <v>5.1756062597061447E-2</v>
      </c>
      <c r="N76" s="327">
        <f>'SOFP '!N49/'SOFP '!M49-1</f>
        <v>0.14975721952466148</v>
      </c>
      <c r="O76" s="327">
        <f>'SOFP '!O49/'SOFP '!N49-1</f>
        <v>-4.0749796251019488E-3</v>
      </c>
      <c r="P76" s="329">
        <f>'SOFP '!P49/'SOFP '!O49-1</f>
        <v>2.3840541485979694E-2</v>
      </c>
      <c r="Q76" s="329">
        <f>'SOFP '!Q49/'SOFP '!P49-1</f>
        <v>2.3840541485979694E-2</v>
      </c>
      <c r="R76" s="329">
        <f>'SOFP '!R49/'SOFP '!Q49-1</f>
        <v>2.3840541485979694E-2</v>
      </c>
      <c r="S76" s="330">
        <f>'SOFP '!S49/'SOFP '!R49-1</f>
        <v>2.3840541485979694E-2</v>
      </c>
    </row>
    <row r="77" spans="2:19" x14ac:dyDescent="0.3">
      <c r="B77" s="7" t="s">
        <v>64</v>
      </c>
      <c r="H77" s="11"/>
      <c r="I77" s="359" t="s">
        <v>236</v>
      </c>
      <c r="J77" s="327">
        <f>'SOFP '!J50/'SOFP '!I50-1</f>
        <v>0.18533901504935546</v>
      </c>
      <c r="K77" s="327">
        <f>'SOFP '!K50/'SOFP '!J50-1</f>
        <v>3.0944254835039153E-3</v>
      </c>
      <c r="L77" s="327">
        <f>'SOFP '!L50/'SOFP '!K50-1</f>
        <v>0.22428888989701945</v>
      </c>
      <c r="M77" s="327">
        <f>'SOFP '!M50/'SOFP '!L50-1</f>
        <v>-4.7578463704746832E-2</v>
      </c>
      <c r="N77" s="327">
        <f>'SOFP '!N50/'SOFP '!M50-1</f>
        <v>0.18013461463642377</v>
      </c>
      <c r="O77" s="327">
        <f>'SOFP '!O50/'SOFP '!N50-1</f>
        <v>2.6769524939834533E-2</v>
      </c>
      <c r="P77" s="329">
        <f>'SOFP '!P50/'SOFP '!O50-1</f>
        <v>8.7526423734118897E-3</v>
      </c>
      <c r="Q77" s="329">
        <f>'SOFP '!Q50/'SOFP '!P50-1</f>
        <v>8.7526423734118897E-3</v>
      </c>
      <c r="R77" s="329">
        <f>'SOFP '!R50/'SOFP '!Q50-1</f>
        <v>8.7526423734118897E-3</v>
      </c>
      <c r="S77" s="330">
        <f>'SOFP '!S50/'SOFP '!R50-1</f>
        <v>8.7526423734118897E-3</v>
      </c>
    </row>
    <row r="78" spans="2:19" x14ac:dyDescent="0.3">
      <c r="B78" s="9" t="s">
        <v>65</v>
      </c>
      <c r="C78" s="18"/>
      <c r="D78" s="18"/>
      <c r="E78" s="18"/>
      <c r="F78" s="18"/>
      <c r="G78" s="18"/>
      <c r="H78" s="19"/>
      <c r="I78" s="360" t="s">
        <v>236</v>
      </c>
      <c r="J78" s="340">
        <f>'SOFP '!J51/'SOFP '!I51-1</f>
        <v>-2.1028451680503268E-2</v>
      </c>
      <c r="K78" s="340">
        <f>'SOFP '!K51/'SOFP '!J51-1</f>
        <v>-1.9759428952503821E-4</v>
      </c>
      <c r="L78" s="340">
        <f>'SOFP '!L51/'SOFP '!K51-1</f>
        <v>0.19912382552269903</v>
      </c>
      <c r="M78" s="340">
        <f>'SOFP '!M51/'SOFP '!L51-1</f>
        <v>0.37307887761128455</v>
      </c>
      <c r="N78" s="340">
        <f>'SOFP '!N51/'SOFP '!M51-1</f>
        <v>8.5843606991922838E-2</v>
      </c>
      <c r="O78" s="340">
        <f>'SOFP '!O51/'SOFP '!N51-1</f>
        <v>0.55796397201405723</v>
      </c>
      <c r="P78" s="341">
        <f>'SOFP '!P51/'SOFP '!O51-1</f>
        <v>0.10439905316385545</v>
      </c>
      <c r="Q78" s="341">
        <f>'SOFP '!Q51/'SOFP '!P51-1</f>
        <v>0.11316507268363107</v>
      </c>
      <c r="R78" s="341">
        <f>'SOFP '!R51/'SOFP '!Q51-1</f>
        <v>0.11775288701155917</v>
      </c>
      <c r="S78" s="342">
        <f>'SOFP '!S51/'SOFP '!R51-1</f>
        <v>0.12222954432995525</v>
      </c>
    </row>
    <row r="79" spans="2:19" x14ac:dyDescent="0.3">
      <c r="B79" s="22"/>
      <c r="C79" s="1"/>
      <c r="D79" s="1"/>
      <c r="E79" s="1"/>
      <c r="F79" s="1"/>
      <c r="G79" s="1"/>
      <c r="H79" s="78"/>
      <c r="I79" s="362"/>
      <c r="J79" s="328"/>
      <c r="K79" s="328"/>
      <c r="L79" s="328"/>
      <c r="M79" s="328"/>
      <c r="N79" s="328"/>
      <c r="O79" s="328"/>
      <c r="P79" s="331"/>
      <c r="Q79" s="331"/>
      <c r="R79" s="331"/>
      <c r="S79" s="332"/>
    </row>
    <row r="80" spans="2:19" x14ac:dyDescent="0.3">
      <c r="B80" s="22" t="s">
        <v>66</v>
      </c>
      <c r="H80" s="11"/>
      <c r="I80" s="359"/>
      <c r="J80" s="327"/>
      <c r="K80" s="327"/>
      <c r="L80" s="327"/>
      <c r="M80" s="327"/>
      <c r="N80" s="327"/>
      <c r="O80" s="327"/>
      <c r="P80" s="329"/>
      <c r="Q80" s="329"/>
      <c r="R80" s="329"/>
      <c r="S80" s="330"/>
    </row>
    <row r="81" spans="2:19" x14ac:dyDescent="0.3">
      <c r="B81" s="7" t="s">
        <v>60</v>
      </c>
      <c r="H81" s="11"/>
      <c r="I81" s="359"/>
      <c r="J81" s="348"/>
      <c r="K81" s="348"/>
      <c r="L81" s="348"/>
      <c r="M81" s="348"/>
      <c r="N81" s="348"/>
      <c r="O81" s="348"/>
      <c r="P81" s="329"/>
      <c r="Q81" s="329"/>
      <c r="R81" s="329"/>
      <c r="S81" s="330"/>
    </row>
    <row r="82" spans="2:19" x14ac:dyDescent="0.3">
      <c r="B82" s="49" t="s">
        <v>74</v>
      </c>
      <c r="H82" s="11"/>
      <c r="I82" s="359" t="s">
        <v>236</v>
      </c>
      <c r="J82" s="348">
        <f>'SOFP '!J55/'SOFP '!I55-1</f>
        <v>0.5813757564694817</v>
      </c>
      <c r="K82" s="348">
        <f>'SOFP '!K55/'SOFP '!J55-1</f>
        <v>0.23250816877397362</v>
      </c>
      <c r="L82" s="348">
        <f>'SOFP '!L55/'SOFP '!K55-1</f>
        <v>-0.12699853516797543</v>
      </c>
      <c r="M82" s="348">
        <f>'SOFP '!M55/'SOFP '!L55-1</f>
        <v>5.3886187091521265E-2</v>
      </c>
      <c r="N82" s="348">
        <f>'SOFP '!N55/'SOFP '!M55-1</f>
        <v>4.3483480975323729E-3</v>
      </c>
      <c r="O82" s="348">
        <f>'SOFP '!O55/'SOFP '!N55-1</f>
        <v>3.9085239085239198E-3</v>
      </c>
      <c r="P82" s="329">
        <f>'SOFP '!P55/'SOFP '!O55-1</f>
        <v>0.15333863635464406</v>
      </c>
      <c r="Q82" s="329">
        <f>'SOFP '!Q55/'SOFP '!P55-1</f>
        <v>9.1413823890707846E-2</v>
      </c>
      <c r="R82" s="329">
        <f>'SOFP '!R55/'SOFP '!Q55-1</f>
        <v>9.1451199140751172E-2</v>
      </c>
      <c r="S82" s="330">
        <f>'SOFP '!S55/'SOFP '!R55-1</f>
        <v>9.1483139204312502E-2</v>
      </c>
    </row>
    <row r="83" spans="2:19" x14ac:dyDescent="0.3">
      <c r="B83" s="49" t="s">
        <v>61</v>
      </c>
      <c r="H83" s="11"/>
      <c r="I83" s="359" t="s">
        <v>236</v>
      </c>
      <c r="J83" s="348">
        <f>'SOFP '!J56/'SOFP '!I56-1</f>
        <v>1.3126788602712436E-2</v>
      </c>
      <c r="K83" s="348">
        <f>'SOFP '!K56/'SOFP '!J56-1</f>
        <v>1.2447651212772493</v>
      </c>
      <c r="L83" s="348">
        <f>'SOFP '!L56/'SOFP '!K56-1</f>
        <v>0.22559908086223857</v>
      </c>
      <c r="M83" s="348">
        <f>'SOFP '!M56/'SOFP '!L56-1</f>
        <v>0.1748766823650203</v>
      </c>
      <c r="N83" s="348">
        <f>'SOFP '!N56/'SOFP '!M56-1</f>
        <v>-0.42611801360234058</v>
      </c>
      <c r="O83" s="348">
        <f>'SOFP '!O56/'SOFP '!N56-1</f>
        <v>0.73147841631355925</v>
      </c>
      <c r="P83" s="329">
        <f>'SOFP '!P56/'SOFP '!O56-1</f>
        <v>7.3003641043984713E-2</v>
      </c>
      <c r="Q83" s="329">
        <f>'SOFP '!Q56/'SOFP '!P56-1</f>
        <v>8.4294925074873239E-2</v>
      </c>
      <c r="R83" s="329">
        <f>'SOFP '!R56/'SOFP '!Q56-1</f>
        <v>8.4613626077614024E-2</v>
      </c>
      <c r="S83" s="330">
        <f>'SOFP '!S56/'SOFP '!R56-1</f>
        <v>8.4809060923511481E-2</v>
      </c>
    </row>
    <row r="84" spans="2:19" x14ac:dyDescent="0.3">
      <c r="B84" s="49" t="s">
        <v>112</v>
      </c>
      <c r="H84" s="11"/>
      <c r="I84" s="359" t="s">
        <v>236</v>
      </c>
      <c r="J84" s="348">
        <f>'SOFP '!J57/'SOFP '!I57-1</f>
        <v>5.3545752573761929E-2</v>
      </c>
      <c r="K84" s="348">
        <f>'SOFP '!K57/'SOFP '!J57-1</f>
        <v>0.1619718309859155</v>
      </c>
      <c r="L84" s="348">
        <f>'SOFP '!L57/'SOFP '!K57-1</f>
        <v>8.7479445618980467E-2</v>
      </c>
      <c r="M84" s="348">
        <f>'SOFP '!M57/'SOFP '!L57-1</f>
        <v>0.17488227416079827</v>
      </c>
      <c r="N84" s="348">
        <f>'SOFP '!N57/'SOFP '!M57-1</f>
        <v>0.11505791505791518</v>
      </c>
      <c r="O84" s="348">
        <f>'SOFP '!O57/'SOFP '!N57-1</f>
        <v>8.4058831288748248E-2</v>
      </c>
      <c r="P84" s="329">
        <f>'SOFP '!P57/'SOFP '!O57-1</f>
        <v>0.39536792175178181</v>
      </c>
      <c r="Q84" s="329">
        <f>'SOFP '!Q57/'SOFP '!P57-1</f>
        <v>0.19084603249016685</v>
      </c>
      <c r="R84" s="329">
        <f>'SOFP '!R57/'SOFP '!Q57-1</f>
        <v>0.19084603249016729</v>
      </c>
      <c r="S84" s="330">
        <f>'SOFP '!S57/'SOFP '!R57-1</f>
        <v>0.19084603249016707</v>
      </c>
    </row>
    <row r="85" spans="2:19" x14ac:dyDescent="0.3">
      <c r="B85" s="49" t="s">
        <v>62</v>
      </c>
      <c r="H85" s="11"/>
      <c r="I85" s="359" t="s">
        <v>236</v>
      </c>
      <c r="J85" s="327">
        <f>'SOFP '!J58/'SOFP '!I58-1</f>
        <v>0.16639259571867226</v>
      </c>
      <c r="K85" s="327">
        <f>'SOFP '!K58/'SOFP '!J58-1</f>
        <v>0.17690983269079608</v>
      </c>
      <c r="L85" s="327">
        <f>'SOFP '!L58/'SOFP '!K58-1</f>
        <v>0.29121546053503389</v>
      </c>
      <c r="M85" s="327">
        <f>'SOFP '!M58/'SOFP '!L58-1</f>
        <v>9.8283265326228886E-2</v>
      </c>
      <c r="N85" s="327">
        <f>'SOFP '!N58/'SOFP '!M58-1</f>
        <v>2.4893101695422137E-2</v>
      </c>
      <c r="O85" s="327">
        <f>'SOFP '!O58/'SOFP '!N58-1</f>
        <v>0.11038496885530469</v>
      </c>
      <c r="P85" s="329">
        <f>'SOFP '!P58/'SOFP '!O58-1</f>
        <v>7.3828374888717629E-2</v>
      </c>
      <c r="Q85" s="329">
        <f>'SOFP '!Q58/'SOFP '!P58-1</f>
        <v>7.3828374888717629E-2</v>
      </c>
      <c r="R85" s="329">
        <f>'SOFP '!R58/'SOFP '!Q58-1</f>
        <v>7.3828374888717629E-2</v>
      </c>
      <c r="S85" s="330">
        <f>'SOFP '!S58/'SOFP '!R58-1</f>
        <v>7.3828374888717629E-2</v>
      </c>
    </row>
    <row r="86" spans="2:19" x14ac:dyDescent="0.3">
      <c r="B86" s="7" t="s">
        <v>67</v>
      </c>
      <c r="H86" s="11"/>
      <c r="I86" s="359" t="s">
        <v>236</v>
      </c>
      <c r="J86" s="327">
        <f>'SOFP '!J59/'SOFP '!I59-1</f>
        <v>0.61802442417684311</v>
      </c>
      <c r="K86" s="327">
        <f>'SOFP '!K59/'SOFP '!J59-1</f>
        <v>0.41966816343428537</v>
      </c>
      <c r="L86" s="327">
        <f>'SOFP '!L59/'SOFP '!K59-1</f>
        <v>0.19619103165167462</v>
      </c>
      <c r="M86" s="327">
        <f>'SOFP '!M59/'SOFP '!L59-1</f>
        <v>2.5710267229254624E-2</v>
      </c>
      <c r="N86" s="327">
        <f>'SOFP '!N59/'SOFP '!M59-1</f>
        <v>-5.3440836624250476E-2</v>
      </c>
      <c r="O86" s="327">
        <f>'SOFP '!O59/'SOFP '!N59-1</f>
        <v>0.30268672860371248</v>
      </c>
      <c r="P86" s="329">
        <f>'SOFP '!P59/'SOFP '!O59-1</f>
        <v>1.5318570179730928E-2</v>
      </c>
      <c r="Q86" s="329">
        <f>'SOFP '!Q59/'SOFP '!P59-1</f>
        <v>1.5318570179730928E-2</v>
      </c>
      <c r="R86" s="329">
        <f>'SOFP '!R59/'SOFP '!Q59-1</f>
        <v>1.5318570179730928E-2</v>
      </c>
      <c r="S86" s="330">
        <f>'SOFP '!S59/'SOFP '!R59-1</f>
        <v>1.5318570179730928E-2</v>
      </c>
    </row>
    <row r="87" spans="2:19" x14ac:dyDescent="0.3">
      <c r="B87" s="7" t="s">
        <v>68</v>
      </c>
      <c r="H87" s="11"/>
      <c r="I87" s="359" t="s">
        <v>236</v>
      </c>
      <c r="J87" s="327">
        <f>'SOFP '!J60/'SOFP '!I60-1</f>
        <v>-0.32668703138017219</v>
      </c>
      <c r="K87" s="327">
        <f>'SOFP '!K60/'SOFP '!J60-1</f>
        <v>7.3331683576672413E-2</v>
      </c>
      <c r="L87" s="327">
        <f>'SOFP '!L60/'SOFP '!K60-1</f>
        <v>0.25799262219489694</v>
      </c>
      <c r="M87" s="327">
        <f>'SOFP '!M60/'SOFP '!L60-1</f>
        <v>-0.25157309548536866</v>
      </c>
      <c r="N87" s="327">
        <f>'SOFP '!N60/'SOFP '!M60-1</f>
        <v>2.9222104318014752E-2</v>
      </c>
      <c r="O87" s="327">
        <f>'SOFP '!O60/'SOFP '!N60-1</f>
        <v>0.42763105718137817</v>
      </c>
      <c r="P87" s="329">
        <f>'SOFP '!P60/'SOFP '!O60-1</f>
        <v>0.14360736325645584</v>
      </c>
      <c r="Q87" s="329">
        <f>'SOFP '!Q60/'SOFP '!P60-1</f>
        <v>0.14360736325645584</v>
      </c>
      <c r="R87" s="329">
        <f>'SOFP '!R60/'SOFP '!Q60-1</f>
        <v>0.14360736325645584</v>
      </c>
      <c r="S87" s="330">
        <f>'SOFP '!S60/'SOFP '!R60-1</f>
        <v>0.14360736325645584</v>
      </c>
    </row>
    <row r="88" spans="2:19" x14ac:dyDescent="0.3">
      <c r="B88" s="9" t="s">
        <v>69</v>
      </c>
      <c r="C88" s="18"/>
      <c r="D88" s="18"/>
      <c r="E88" s="18"/>
      <c r="F88" s="18"/>
      <c r="G88" s="18"/>
      <c r="H88" s="19"/>
      <c r="I88" s="360" t="s">
        <v>236</v>
      </c>
      <c r="J88" s="340">
        <f>'SOFP '!J61/'SOFP '!I61-1</f>
        <v>0.35281870522648728</v>
      </c>
      <c r="K88" s="340">
        <f>'SOFP '!K61/'SOFP '!J61-1</f>
        <v>0.27758502563341025</v>
      </c>
      <c r="L88" s="340">
        <f>'SOFP '!L61/'SOFP '!K61-1</f>
        <v>4.2946640971417649E-2</v>
      </c>
      <c r="M88" s="340">
        <f>'SOFP '!M61/'SOFP '!L61-1</f>
        <v>7.662555265814186E-2</v>
      </c>
      <c r="N88" s="340">
        <f>'SOFP '!N61/'SOFP '!M61-1</f>
        <v>-4.231286819370994E-2</v>
      </c>
      <c r="O88" s="340">
        <f>'SOFP '!O61/'SOFP '!N61-1</f>
        <v>0.12231153408686124</v>
      </c>
      <c r="P88" s="341">
        <f>'SOFP '!P61/'SOFP '!O61-1</f>
        <v>0.1159742179990213</v>
      </c>
      <c r="Q88" s="341">
        <f>'SOFP '!Q61/'SOFP '!P61-1</f>
        <v>8.5407935332102225E-2</v>
      </c>
      <c r="R88" s="341">
        <f>'SOFP '!R61/'SOFP '!Q61-1</f>
        <v>8.6341366207526971E-2</v>
      </c>
      <c r="S88" s="342">
        <f>'SOFP '!S61/'SOFP '!R61-1</f>
        <v>8.7285589323965684E-2</v>
      </c>
    </row>
    <row r="89" spans="2:19" x14ac:dyDescent="0.3">
      <c r="B89" s="569" t="s">
        <v>70</v>
      </c>
      <c r="C89" s="570"/>
      <c r="D89" s="570"/>
      <c r="E89" s="570"/>
      <c r="F89" s="570"/>
      <c r="G89" s="570"/>
      <c r="H89" s="571"/>
      <c r="I89" s="360" t="s">
        <v>236</v>
      </c>
      <c r="J89" s="336">
        <f>'SOFP '!J62/'SOFP '!I62-1</f>
        <v>0.26090436446944176</v>
      </c>
      <c r="K89" s="336">
        <f>'SOFP '!K62/'SOFP '!J62-1</f>
        <v>0.12835929192591689</v>
      </c>
      <c r="L89" s="336">
        <f>'SOFP '!L62/'SOFP '!K62-1</f>
        <v>0.12242078814840607</v>
      </c>
      <c r="M89" s="336">
        <f>'SOFP '!M62/'SOFP '!L62-1</f>
        <v>0.15993836731529587</v>
      </c>
      <c r="N89" s="336">
        <f>'SOFP '!N62/'SOFP '!M62-1</f>
        <v>1.4948157153650943E-2</v>
      </c>
      <c r="O89" s="336">
        <f>'SOFP '!O62/'SOFP '!N62-1</f>
        <v>0.13707270655946036</v>
      </c>
      <c r="P89" s="337">
        <f>'SOFP '!P62/'SOFP '!O62-1</f>
        <v>9.4570942700356264E-2</v>
      </c>
      <c r="Q89" s="337">
        <f>'SOFP '!Q62/'SOFP '!P62-1</f>
        <v>8.7653591471345216E-2</v>
      </c>
      <c r="R89" s="337">
        <f>'SOFP '!R62/'SOFP '!Q62-1</f>
        <v>8.8620026972565658E-2</v>
      </c>
      <c r="S89" s="338">
        <f>'SOFP '!S62/'SOFP '!R62-1</f>
        <v>8.9534908577293848E-2</v>
      </c>
    </row>
  </sheetData>
  <mergeCells count="10">
    <mergeCell ref="F4:H4"/>
    <mergeCell ref="B38:G38"/>
    <mergeCell ref="B61:H61"/>
    <mergeCell ref="B89:H89"/>
    <mergeCell ref="B6:S6"/>
    <mergeCell ref="I8:O8"/>
    <mergeCell ref="P8:S8"/>
    <mergeCell ref="B33:S33"/>
    <mergeCell ref="I35:O35"/>
    <mergeCell ref="P35:S3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ABC78-D70C-4A24-9F90-EB4E44858E88}">
  <sheetPr codeName="Sheet11"/>
  <dimension ref="A1:S32"/>
  <sheetViews>
    <sheetView topLeftCell="I1" zoomScale="101" zoomScaleNormal="98" workbookViewId="0">
      <selection activeCell="R17" sqref="R17"/>
    </sheetView>
  </sheetViews>
  <sheetFormatPr defaultRowHeight="14.4" x14ac:dyDescent="0.3"/>
  <cols>
    <col min="1" max="1" width="17" customWidth="1"/>
    <col min="2" max="8" width="14" customWidth="1"/>
    <col min="9" max="9" width="18.6640625" customWidth="1"/>
    <col min="10" max="10" width="15.21875" customWidth="1"/>
    <col min="11" max="11" width="14" customWidth="1"/>
    <col min="12" max="12" width="10.88671875" bestFit="1" customWidth="1"/>
    <col min="13" max="13" width="14.33203125" bestFit="1" customWidth="1"/>
    <col min="14" max="14" width="11.33203125" bestFit="1" customWidth="1"/>
    <col min="15" max="15" width="9.77734375" bestFit="1" customWidth="1"/>
    <col min="16" max="16" width="14.33203125" bestFit="1" customWidth="1"/>
    <col min="17" max="17" width="7.44140625" bestFit="1" customWidth="1"/>
    <col min="18" max="18" width="7.109375" bestFit="1" customWidth="1"/>
    <col min="19" max="19" width="12.77734375" bestFit="1" customWidth="1"/>
    <col min="20" max="20" width="14.44140625" bestFit="1" customWidth="1"/>
    <col min="21" max="21" width="11.44140625" bestFit="1" customWidth="1"/>
    <col min="22" max="22" width="7.88671875" bestFit="1" customWidth="1"/>
    <col min="23" max="24" width="7.109375" bestFit="1" customWidth="1"/>
    <col min="25" max="25" width="16.33203125" bestFit="1" customWidth="1"/>
    <col min="26" max="26" width="11.21875" bestFit="1" customWidth="1"/>
  </cols>
  <sheetData>
    <row r="1" spans="1:17" x14ac:dyDescent="0.3">
      <c r="A1" s="1" t="s">
        <v>305</v>
      </c>
      <c r="B1" s="1" t="s">
        <v>301</v>
      </c>
      <c r="C1" s="1" t="s">
        <v>302</v>
      </c>
      <c r="D1" s="1" t="s">
        <v>304</v>
      </c>
      <c r="E1" s="1" t="s">
        <v>303</v>
      </c>
      <c r="F1" s="1" t="s">
        <v>79</v>
      </c>
      <c r="G1" s="1" t="s">
        <v>307</v>
      </c>
      <c r="H1" s="1" t="s">
        <v>306</v>
      </c>
      <c r="I1" s="1" t="s">
        <v>309</v>
      </c>
      <c r="J1" s="1" t="s">
        <v>308</v>
      </c>
      <c r="K1" s="1" t="s">
        <v>310</v>
      </c>
      <c r="M1" s="451" t="s">
        <v>305</v>
      </c>
      <c r="N1" s="475">
        <v>22</v>
      </c>
      <c r="P1" s="449" t="s">
        <v>305</v>
      </c>
      <c r="Q1" s="32">
        <v>22</v>
      </c>
    </row>
    <row r="2" spans="1:17" x14ac:dyDescent="0.3">
      <c r="A2" s="445">
        <v>20</v>
      </c>
      <c r="B2" s="473">
        <f>SOPL!I13</f>
        <v>20211.25</v>
      </c>
      <c r="C2" s="473">
        <f>SOPL!I18</f>
        <v>8827.7899999999991</v>
      </c>
      <c r="D2" s="473">
        <f>SOPL!I22</f>
        <v>4466.079999999999</v>
      </c>
      <c r="E2" s="473">
        <f>SOPL!I31</f>
        <v>2774.1899999999991</v>
      </c>
      <c r="F2" s="43">
        <f>'Ratio Analysis'!I37</f>
        <v>0.35477082530294363</v>
      </c>
      <c r="G2" s="43">
        <f>'Ratio Analysis'!I38</f>
        <v>0.26704119184692049</v>
      </c>
      <c r="H2" s="43">
        <f>'Ratio Analysis'!I39</f>
        <v>0.17172575035113463</v>
      </c>
      <c r="I2" s="43">
        <f>'Ratio Analysis'!I32</f>
        <v>0.43677605294081262</v>
      </c>
      <c r="J2" s="43">
        <f>'Ratio Analysis'!I33</f>
        <v>0.22097000432927202</v>
      </c>
      <c r="K2" s="43">
        <f>'Ratio Analysis'!I36</f>
        <v>0.13725969447708575</v>
      </c>
    </row>
    <row r="3" spans="1:17" x14ac:dyDescent="0.3">
      <c r="A3" s="445">
        <f t="shared" ref="A3:A12" si="0">A2+1</f>
        <v>21</v>
      </c>
      <c r="B3" s="473">
        <f>SOPL!J13</f>
        <v>21712.79</v>
      </c>
      <c r="C3" s="473">
        <f>SOPL!J18</f>
        <v>9615.5600000000013</v>
      </c>
      <c r="D3" s="473">
        <f>SOPL!J22</f>
        <v>5158.6500000000005</v>
      </c>
      <c r="E3" s="473">
        <f>SOPL!J31</f>
        <v>3206.7500000000014</v>
      </c>
      <c r="F3" s="43">
        <f>'Ratio Analysis'!J37</f>
        <v>0.33385968702667862</v>
      </c>
      <c r="G3" s="43">
        <f>'Ratio Analysis'!J38</f>
        <v>0.24513656960759125</v>
      </c>
      <c r="H3" s="43">
        <f>'Ratio Analysis'!J39</f>
        <v>0.15742807180497237</v>
      </c>
      <c r="I3" s="43">
        <f>'Ratio Analysis'!J32</f>
        <v>0.44285234647412891</v>
      </c>
      <c r="J3" s="43">
        <f>'Ratio Analysis'!J33</f>
        <v>0.23758577317792878</v>
      </c>
      <c r="K3" s="43">
        <f>'Ratio Analysis'!J36</f>
        <v>0.14768944939825795</v>
      </c>
      <c r="L3" s="446"/>
      <c r="M3" s="449" t="s">
        <v>315</v>
      </c>
      <c r="P3" s="449" t="s">
        <v>315</v>
      </c>
    </row>
    <row r="4" spans="1:17" x14ac:dyDescent="0.3">
      <c r="A4" s="445">
        <f t="shared" si="0"/>
        <v>22</v>
      </c>
      <c r="B4" s="473">
        <f>SOPL!K13</f>
        <v>29101.279999999999</v>
      </c>
      <c r="C4" s="473">
        <f>SOPL!K18</f>
        <v>10800.529999999999</v>
      </c>
      <c r="D4" s="473">
        <f>SOPL!K22</f>
        <v>5183.619999999999</v>
      </c>
      <c r="E4" s="473">
        <f>SOPL!K31</f>
        <v>3084.8099999999995</v>
      </c>
      <c r="F4" s="43">
        <f>'Ratio Analysis'!K37</f>
        <v>0.31064345886431172</v>
      </c>
      <c r="G4" s="43">
        <f>'Ratio Analysis'!K38</f>
        <v>0.21942271546443706</v>
      </c>
      <c r="H4" s="43">
        <f>'Ratio Analysis'!K39</f>
        <v>0.13421291351326656</v>
      </c>
      <c r="I4" s="43">
        <f>'Ratio Analysis'!K32</f>
        <v>0.37113590879851333</v>
      </c>
      <c r="J4" s="43">
        <f>'Ratio Analysis'!K33</f>
        <v>0.17812343649488954</v>
      </c>
      <c r="K4" s="43">
        <f>'Ratio Analysis'!K36</f>
        <v>0.10600255383955619</v>
      </c>
      <c r="M4" s="32" t="s">
        <v>322</v>
      </c>
      <c r="N4" s="448">
        <v>29101.279999999999</v>
      </c>
      <c r="P4" s="32" t="s">
        <v>317</v>
      </c>
      <c r="Q4" s="43">
        <v>0.10600255383955619</v>
      </c>
    </row>
    <row r="5" spans="1:17" x14ac:dyDescent="0.3">
      <c r="A5" s="445">
        <f t="shared" si="0"/>
        <v>23</v>
      </c>
      <c r="B5" s="473">
        <f>SOPL!L13</f>
        <v>34488.590000000004</v>
      </c>
      <c r="C5" s="473">
        <f>SOPL!L18</f>
        <v>13332.09</v>
      </c>
      <c r="D5" s="473">
        <f>SOPL!L22</f>
        <v>6646.32</v>
      </c>
      <c r="E5" s="473">
        <f>SOPL!L31</f>
        <v>4195.33</v>
      </c>
      <c r="F5" s="43">
        <f>'Ratio Analysis'!L37</f>
        <v>0.35427655781762202</v>
      </c>
      <c r="G5" s="43">
        <f>'Ratio Analysis'!L38</f>
        <v>0.25677782273016331</v>
      </c>
      <c r="H5" s="43">
        <f>'Ratio Analysis'!L39</f>
        <v>0.16262229630203892</v>
      </c>
      <c r="I5" s="43">
        <f>'Ratio Analysis'!L32</f>
        <v>0.38656523795260977</v>
      </c>
      <c r="J5" s="43">
        <f>'Ratio Analysis'!L33</f>
        <v>0.19271069069509653</v>
      </c>
      <c r="K5" s="43">
        <f>'Ratio Analysis'!L36</f>
        <v>0.12164399878336572</v>
      </c>
      <c r="M5" s="32" t="s">
        <v>323</v>
      </c>
      <c r="N5" s="448">
        <v>10800.529999999999</v>
      </c>
      <c r="P5" s="32" t="s">
        <v>237</v>
      </c>
      <c r="Q5" s="43">
        <v>0.13421291351326656</v>
      </c>
    </row>
    <row r="6" spans="1:17" x14ac:dyDescent="0.3">
      <c r="A6" s="445">
        <f t="shared" si="0"/>
        <v>24</v>
      </c>
      <c r="B6" s="473">
        <f>SOPL!M13</f>
        <v>35494.729999999996</v>
      </c>
      <c r="C6" s="473">
        <f>SOPL!M18</f>
        <v>15404.519999999997</v>
      </c>
      <c r="D6" s="473">
        <f>SOPL!M22</f>
        <v>8272.9399999999969</v>
      </c>
      <c r="E6" s="473">
        <f>SOPL!M31</f>
        <v>5557.6899999999969</v>
      </c>
      <c r="F6" s="43">
        <f>'Ratio Analysis'!M37</f>
        <v>0.38924106658585395</v>
      </c>
      <c r="G6" s="43">
        <f>'Ratio Analysis'!M38</f>
        <v>0.29154968683756666</v>
      </c>
      <c r="H6" s="43">
        <f>'Ratio Analysis'!M39</f>
        <v>0.18572628273741981</v>
      </c>
      <c r="I6" s="43">
        <f>'Ratio Analysis'!M32</f>
        <v>0.43399456764426714</v>
      </c>
      <c r="J6" s="43">
        <f>'Ratio Analysis'!M33</f>
        <v>0.23307516355244842</v>
      </c>
      <c r="K6" s="43">
        <f>'Ratio Analysis'!M36</f>
        <v>0.15657789198565528</v>
      </c>
      <c r="M6" s="32" t="s">
        <v>314</v>
      </c>
      <c r="N6" s="448">
        <v>5183.619999999999</v>
      </c>
      <c r="P6" s="32" t="s">
        <v>321</v>
      </c>
      <c r="Q6" s="43">
        <v>0.17812343649488954</v>
      </c>
    </row>
    <row r="7" spans="1:17" x14ac:dyDescent="0.3">
      <c r="A7" s="445">
        <f t="shared" si="0"/>
        <v>25</v>
      </c>
      <c r="B7" s="473">
        <f>SOPL!N13</f>
        <v>33905.620000000003</v>
      </c>
      <c r="C7" s="473">
        <f>SOPL!N18</f>
        <v>14389.840000000004</v>
      </c>
      <c r="D7" s="473">
        <f>SOPL!N22</f>
        <v>6578.8200000000052</v>
      </c>
      <c r="E7" s="473">
        <f>SOPL!N31</f>
        <v>3709.7100000000046</v>
      </c>
      <c r="F7" s="43">
        <f>'Ratio Analysis'!N37</f>
        <v>0.28293567749869281</v>
      </c>
      <c r="G7" s="43">
        <f>'Ratio Analysis'!N38</f>
        <v>0.18903432559391048</v>
      </c>
      <c r="H7" s="43">
        <f>'Ratio Analysis'!N39</f>
        <v>0.12214496744796183</v>
      </c>
      <c r="I7" s="43">
        <f>'Ratio Analysis'!N32</f>
        <v>0.42440869684730742</v>
      </c>
      <c r="J7" s="43">
        <f>'Ratio Analysis'!N33</f>
        <v>0.19403331954997444</v>
      </c>
      <c r="K7" s="43">
        <f>'Ratio Analysis'!N36</f>
        <v>0.10941283480437769</v>
      </c>
      <c r="M7" s="32" t="s">
        <v>324</v>
      </c>
      <c r="N7" s="448">
        <v>3084.8099999999995</v>
      </c>
      <c r="P7" s="32" t="s">
        <v>78</v>
      </c>
      <c r="Q7" s="43">
        <v>0.21942271546443706</v>
      </c>
    </row>
    <row r="8" spans="1:17" x14ac:dyDescent="0.3">
      <c r="A8" s="445">
        <f t="shared" si="0"/>
        <v>26</v>
      </c>
      <c r="B8" s="473">
        <f>SOPL!O13</f>
        <v>35583.54</v>
      </c>
      <c r="C8" s="473">
        <f>SOPL!O18</f>
        <v>15581.760000000002</v>
      </c>
      <c r="D8" s="473">
        <f>SOPL!O22</f>
        <v>7419.7200000000012</v>
      </c>
      <c r="E8" s="473">
        <f>SOPL!O31</f>
        <v>4394.6900000000014</v>
      </c>
      <c r="F8" s="43">
        <f>'Ratio Analysis'!O37</f>
        <v>0.28510698709934312</v>
      </c>
      <c r="G8" s="43">
        <f>'Ratio Analysis'!O38</f>
        <v>0.2023878429260528</v>
      </c>
      <c r="H8" s="43">
        <f>'Ratio Analysis'!O39</f>
        <v>0.12725510062549064</v>
      </c>
      <c r="I8" s="43">
        <f>'Ratio Analysis'!O32</f>
        <v>0.43789235135121468</v>
      </c>
      <c r="J8" s="43">
        <f>'Ratio Analysis'!O33</f>
        <v>0.20851551026120507</v>
      </c>
      <c r="K8" s="43">
        <f>'Ratio Analysis'!O36</f>
        <v>0.12350345131484955</v>
      </c>
      <c r="P8" s="32" t="s">
        <v>320</v>
      </c>
      <c r="Q8" s="43">
        <v>0.31064345886431172</v>
      </c>
    </row>
    <row r="9" spans="1:17" x14ac:dyDescent="0.3">
      <c r="A9" s="446">
        <f t="shared" si="0"/>
        <v>27</v>
      </c>
      <c r="B9" s="473">
        <f>SOPL!P13</f>
        <v>38834.811316644591</v>
      </c>
      <c r="C9" s="473">
        <f>SOPL!P18</f>
        <v>16235.97830656149</v>
      </c>
      <c r="D9" s="473">
        <f>SOPL!P22</f>
        <v>7894.2499852784204</v>
      </c>
      <c r="E9" s="473">
        <f>SOPL!P31</f>
        <v>4779.5019633944339</v>
      </c>
      <c r="F9" s="43">
        <f>'Ratio Analysis'!S37</f>
        <v>0.27857809121088506</v>
      </c>
      <c r="G9" s="43">
        <f>'Ratio Analysis'!S38</f>
        <v>0.20308545000171735</v>
      </c>
      <c r="H9" s="43">
        <f>'Ratio Analysis'!S39</f>
        <v>0.12644032895782126</v>
      </c>
      <c r="I9" s="43">
        <f>'Ratio Analysis'!S32</f>
        <v>0.41807795006854465</v>
      </c>
      <c r="J9" s="43">
        <f>'Ratio Analysis'!S33</f>
        <v>0.20327767066799027</v>
      </c>
      <c r="K9" s="43">
        <f>'Ratio Analysis'!S36</f>
        <v>0.12307261967681919</v>
      </c>
      <c r="P9" s="32" t="s">
        <v>316</v>
      </c>
      <c r="Q9" s="43">
        <v>0.37113590879851333</v>
      </c>
    </row>
    <row r="10" spans="1:17" x14ac:dyDescent="0.3">
      <c r="A10" s="446">
        <f t="shared" si="0"/>
        <v>28</v>
      </c>
      <c r="B10" s="473">
        <f>SOPL!Q13</f>
        <v>42384.849919173204</v>
      </c>
      <c r="C10" s="473">
        <f>SOPL!Q18</f>
        <v>17720.171168170851</v>
      </c>
      <c r="D10" s="473">
        <f>SOPL!Q22</f>
        <v>8542.4418231832096</v>
      </c>
      <c r="E10" s="473">
        <f>SOPL!Q31</f>
        <v>5209.0626133793394</v>
      </c>
      <c r="F10" s="100">
        <v>0.27979999999999999</v>
      </c>
      <c r="G10" s="43">
        <f>'Ratio Analysis'!T38</f>
        <v>0.20413069672669532</v>
      </c>
      <c r="H10" s="43">
        <f>'Ratio Analysis'!T39</f>
        <v>0.12669867622033709</v>
      </c>
      <c r="I10" s="43">
        <f>'Ratio Analysis'!T32</f>
        <v>0.41807795006854459</v>
      </c>
      <c r="J10" s="43">
        <f>'Ratio Analysis'!T33</f>
        <v>0.20154469909586614</v>
      </c>
      <c r="K10" s="43">
        <f>'Ratio Analysis'!T36</f>
        <v>0.12289916381237365</v>
      </c>
    </row>
    <row r="11" spans="1:17" x14ac:dyDescent="0.3">
      <c r="A11" s="446">
        <f t="shared" si="0"/>
        <v>29</v>
      </c>
      <c r="B11" s="473">
        <f>SOPL!R13</f>
        <v>46260.995269682368</v>
      </c>
      <c r="C11" s="473">
        <f>SOPL!R18</f>
        <v>19340.702070479445</v>
      </c>
      <c r="D11" s="473">
        <f>SOPL!R22</f>
        <v>9241.9236168881416</v>
      </c>
      <c r="E11" s="473">
        <f>SOPL!R31</f>
        <v>5669.5146362478572</v>
      </c>
      <c r="F11" s="100">
        <v>0.28050000000000003</v>
      </c>
      <c r="G11" s="43">
        <f>'Ratio Analysis'!U38</f>
        <v>0.20484226284816032</v>
      </c>
      <c r="H11" s="43">
        <f>'Ratio Analysis'!U39</f>
        <v>0.12667240312771522</v>
      </c>
      <c r="I11" s="43">
        <f>'Ratio Analysis'!U32</f>
        <v>0.41807795006854465</v>
      </c>
      <c r="J11" s="43">
        <f>'Ratio Analysis'!U33</f>
        <v>0.19977788119368314</v>
      </c>
      <c r="K11" s="43">
        <f>'Ratio Analysis'!U36</f>
        <v>0.12255496456997832</v>
      </c>
    </row>
    <row r="12" spans="1:17" x14ac:dyDescent="0.3">
      <c r="A12" s="446">
        <f t="shared" si="0"/>
        <v>30</v>
      </c>
      <c r="B12" s="473">
        <f>SOPL!S13</f>
        <v>50493.096339668758</v>
      </c>
      <c r="C12" s="473">
        <f>SOPL!S18</f>
        <v>21110.050210302248</v>
      </c>
      <c r="D12" s="473">
        <f>SOPL!S22</f>
        <v>9996.4904837723752</v>
      </c>
      <c r="E12" s="473">
        <f>SOPL!S31</f>
        <v>6163.4359109095458</v>
      </c>
      <c r="F12" s="100">
        <v>0.28089999999999998</v>
      </c>
      <c r="G12" s="43">
        <f>'Ratio Analysis'!V38</f>
        <v>0.2052784048920685</v>
      </c>
      <c r="H12" s="43">
        <f>'Ratio Analysis'!V39</f>
        <v>0.12639149934143029</v>
      </c>
      <c r="I12" s="43">
        <f>'Ratio Analysis'!V32</f>
        <v>0.41807795006854459</v>
      </c>
      <c r="J12" s="43">
        <f>'Ratio Analysis'!V33</f>
        <v>0.19797737133262036</v>
      </c>
      <c r="K12" s="43">
        <f>'Ratio Analysis'!V36</f>
        <v>0.12206492288466338</v>
      </c>
    </row>
    <row r="15" spans="1:17" ht="28.8" x14ac:dyDescent="0.3">
      <c r="A15" s="450" t="s">
        <v>313</v>
      </c>
      <c r="B15" s="473">
        <f>'Valuation-FCFF'!O19</f>
        <v>9749.15243679796</v>
      </c>
      <c r="C15" s="303">
        <f>B15/B17</f>
        <v>0.22850501121154962</v>
      </c>
    </row>
    <row r="16" spans="1:17" x14ac:dyDescent="0.3">
      <c r="A16" s="1" t="s">
        <v>253</v>
      </c>
      <c r="B16" s="473">
        <f>'Valuation-FCFF'!O20</f>
        <v>32915.786879444029</v>
      </c>
      <c r="C16" s="303">
        <f>B16/B17</f>
        <v>0.77149498878845046</v>
      </c>
    </row>
    <row r="17" spans="1:19" x14ac:dyDescent="0.3">
      <c r="A17" s="1" t="s">
        <v>255</v>
      </c>
      <c r="B17" s="473">
        <f>'Valuation-FCFF'!O21</f>
        <v>42664.939316241987</v>
      </c>
    </row>
    <row r="18" spans="1:19" x14ac:dyDescent="0.3">
      <c r="A18" s="1" t="s">
        <v>311</v>
      </c>
      <c r="B18" s="473">
        <f>'Valuation-FCFF'!O23</f>
        <v>40110.829316241987</v>
      </c>
    </row>
    <row r="19" spans="1:19" ht="28.8" x14ac:dyDescent="0.3">
      <c r="A19" s="450" t="s">
        <v>329</v>
      </c>
      <c r="B19" s="4">
        <f>'Valuation-FCFF'!L28</f>
        <v>418.42412055796245</v>
      </c>
    </row>
    <row r="20" spans="1:19" x14ac:dyDescent="0.3">
      <c r="A20" s="1" t="s">
        <v>260</v>
      </c>
      <c r="B20" s="43">
        <f>'Valuation-FCFF'!N16</f>
        <v>0.11921802931975659</v>
      </c>
    </row>
    <row r="21" spans="1:19" x14ac:dyDescent="0.3">
      <c r="F21" s="89"/>
      <c r="G21" s="89"/>
      <c r="H21" s="89"/>
      <c r="I21" s="89"/>
      <c r="J21" s="89"/>
      <c r="K21" s="89"/>
      <c r="L21" s="89"/>
    </row>
    <row r="22" spans="1:19" x14ac:dyDescent="0.3">
      <c r="A22" s="1"/>
      <c r="B22" s="43"/>
    </row>
    <row r="23" spans="1:19" x14ac:dyDescent="0.3">
      <c r="A23" s="1" t="s">
        <v>312</v>
      </c>
      <c r="B23" s="1" t="s">
        <v>318</v>
      </c>
      <c r="C23" s="1" t="s">
        <v>319</v>
      </c>
    </row>
    <row r="24" spans="1:19" x14ac:dyDescent="0.3">
      <c r="A24" s="1" t="s">
        <v>258</v>
      </c>
      <c r="B24" s="447">
        <v>0.12</v>
      </c>
      <c r="C24" s="43">
        <v>4.7100000000000003E-2</v>
      </c>
    </row>
    <row r="25" spans="1:19" x14ac:dyDescent="0.3">
      <c r="A25" s="1" t="s">
        <v>54</v>
      </c>
      <c r="B25" s="447">
        <v>0.88</v>
      </c>
      <c r="C25" s="43">
        <v>0.129</v>
      </c>
    </row>
    <row r="32" spans="1:19" x14ac:dyDescent="0.3">
      <c r="Q32" s="43"/>
      <c r="R32" s="43"/>
      <c r="S32" s="43"/>
    </row>
  </sheetData>
  <pageMargins left="0.7" right="0.7" top="0.75" bottom="0.75" header="0.3" footer="0.3"/>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Valuation-FCFF</vt:lpstr>
      <vt:lpstr>Sensitivity Analysis</vt:lpstr>
      <vt:lpstr>SOFP </vt:lpstr>
      <vt:lpstr>SOPL</vt:lpstr>
      <vt:lpstr>SOCF</vt:lpstr>
      <vt:lpstr>Schedule</vt:lpstr>
      <vt:lpstr>Ratio Analysis</vt:lpstr>
      <vt:lpstr>Common-Size Analysis</vt:lpstr>
      <vt:lpstr>Comparative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Prakhar Ojha</dc:creator>
  <cp:lastModifiedBy>Prakhar Ojha</cp:lastModifiedBy>
  <cp:lastPrinted>2026-07-20T10:03:42Z</cp:lastPrinted>
  <dcterms:created xsi:type="dcterms:W3CDTF">2026-07-04T10:18:51Z</dcterms:created>
  <dcterms:modified xsi:type="dcterms:W3CDTF">2026-07-27T11:19:03Z</dcterms:modified>
</cp:coreProperties>
</file>